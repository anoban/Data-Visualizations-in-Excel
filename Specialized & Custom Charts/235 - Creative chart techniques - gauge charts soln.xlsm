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-Visualizations-in-Excel\Specialized &amp; Custom Charts\"/>
    </mc:Choice>
  </mc:AlternateContent>
  <xr:revisionPtr revIDLastSave="0" documentId="13_ncr:1_{ACC8ED32-2EC5-4E97-AF1F-5E89E8023826}" xr6:coauthVersionLast="47" xr6:coauthVersionMax="47" xr10:uidLastSave="{00000000-0000-0000-0000-000000000000}"/>
  <bookViews>
    <workbookView xWindow="-108" yWindow="-108" windowWidth="22080" windowHeight="13176" activeTab="1" xr2:uid="{00000000-000D-0000-FFFF-FFFF00000000}"/>
  </bookViews>
  <sheets>
    <sheet name="Gauge Charts" sheetId="8" r:id="rId1"/>
    <sheet name="Gauge" sheetId="9" r:id="rId2"/>
  </sheets>
  <definedNames>
    <definedName name="Age">#REF!</definedName>
    <definedName name="Both_Sexes_Population">#REF!</definedName>
    <definedName name="Female_Population">#REF!</definedName>
    <definedName name="gmsl_year">'Gauge Charts'!$B$3:$N$3</definedName>
    <definedName name="Male_Population">#REF!</definedName>
    <definedName name="Percent_Both_Sexes">#REF!</definedName>
    <definedName name="Percent_Female">#REF!</definedName>
    <definedName name="Percent_Male">#REF!</definedName>
    <definedName name="scenarios">'Gauge Charts'!$A$4:$A$9</definedName>
    <definedName name="Year">#REF!</definedName>
    <definedName name="Yea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8" i="9" l="1"/>
  <c r="P4" i="9"/>
  <c r="C17" i="9" s="1"/>
  <c r="B11" i="9"/>
  <c r="A11" i="9"/>
  <c r="Q4" i="8"/>
  <c r="Q6" i="8" s="1"/>
  <c r="P7" i="8"/>
  <c r="C15" i="9" l="1"/>
  <c r="C16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<sst xmlns="http://schemas.openxmlformats.org/spreadsheetml/2006/main" count="35" uniqueCount="24">
  <si>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</si>
  <si>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</si>
  <si>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</si>
  <si>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</si>
  <si>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</si>
  <si>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</si>
  <si>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</si>
  <si>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</si>
  <si>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</si>
  <si>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</si>
  <si>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</si>
  <si>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</si>
  <si>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</si>
  <si>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</si>
  <si>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</si>
  <si>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t>Min</t>
  </si>
  <si>
    <t>Max</t>
  </si>
  <si>
    <t>GAUGE RANGE</t>
  </si>
  <si>
    <t>30 - 9700</t>
  </si>
  <si>
    <t>DUMMY</t>
  </si>
  <si>
    <t>LOWER HALF</t>
  </si>
  <si>
    <t>METER READ</t>
  </si>
  <si>
    <t>REST</t>
  </si>
  <si>
    <t>POINTER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</si>
</sst>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6" formatCode="0.0"/>
    <numFmt numFmtId="167" formatCode="0&quot;mm&quot;"/>
  </numFmts>
  <fonts count="2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3CC3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4">
    <xf numFmtId="0" fontId="0" fillId="0" borderId="0" xfId="0"/>
    <xf numFmtId="0" fontId="19" fillId="0" borderId="0" xfId="43"/>
    <xf numFmtId="0" fontId="18" fillId="33" borderId="0" xfId="0" applyFont="1" applyFill="1"/>
    <xf numFmtId="0" fontId="18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20" fillId="33" borderId="0" xfId="2" applyFont="1" applyFill="1" applyAlignment="1">
      <alignment horizontal="left"/>
    </xf>
    <xf numFmtId="166" fontId="18" fillId="33" borderId="0" xfId="0" applyNumberFormat="1" applyFont="1" applyFill="1" applyAlignment="1">
      <alignment horizontal="center"/>
    </xf>
    <xf numFmtId="0" fontId="18" fillId="21" borderId="0" xfId="31" applyAlignment="1">
      <alignment horizontal="center"/>
    </xf>
    <xf numFmtId="0" fontId="20" fillId="33" borderId="0" xfId="2" applyFont="1" applyFill="1" applyAlignment="1"/>
    <xf numFmtId="0" fontId="19" fillId="0" borderId="0" xfId="43" applyAlignment="1"/>
    <xf numFmtId="0" fontId="18" fillId="21" borderId="0" xfId="31" applyAlignment="1"/>
    <xf numFmtId="0" fontId="18" fillId="21" borderId="0" xfId="31" applyAlignment="1">
      <alignment horizontal="right"/>
    </xf>
    <xf numFmtId="167" fontId="0" fillId="0" borderId="0" xfId="1" applyNumberFormat="1" applyFont="1"/>
    <xf numFmtId="0" fontId="0" fillId="34" borderId="0" xfId="0" applyFill="1"/>
    <xf numFmtId="0" fontId="19" fillId="34" borderId="0" xfId="43" applyFill="1"/>
    <xf numFmtId="0" fontId="0" fillId="34" borderId="0" xfId="0" applyFill="1" applyAlignment="1">
      <alignment horizontal="left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36" borderId="0" xfId="0" applyFill="1" applyAlignment="1">
      <alignment horizontal="center" vertical="center"/>
    </xf>
    <xf numFmtId="0" fontId="1" fillId="36" borderId="0" xfId="0" applyFont="1" applyFill="1" applyAlignment="1">
      <alignment horizontal="center" vertical="center"/>
    </xf>
    <xf numFmtId="0" fontId="1" fillId="35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44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43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 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colors>
    <mruColors>
      <color rgb="FFFFFF99"/>
      <color rgb="FFFF9900"/>
      <color rgb="FF33CC33"/>
      <color rgb="FFFF9933"/>
      <color rgb="FF339966"/>
      <color rgb="FFCC0000"/>
      <color rgb="FFFFFF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Projected rise in GMSL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'Gauge Charts'!$P$3</c:f>
              <c:strCache>
                <c:ptCount val="1"/>
                <c:pt idx="0">
                  <c:v>Gauge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0">
                    <a:srgbClr val="FFFF00"/>
                  </a:gs>
                  <a:gs pos="83000">
                    <a:srgbClr val="FFC000"/>
                  </a:gs>
                </a:gsLst>
                <a:lin ang="189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346D-4AA1-B0A7-E8A38563C6D8}"/>
              </c:ext>
            </c:extLst>
          </c:dPt>
          <c:dPt>
            <c:idx val="1"/>
            <c:bubble3D val="0"/>
            <c:spPr>
              <a:gradFill>
                <a:gsLst>
                  <a:gs pos="21000">
                    <a:srgbClr val="FFC000"/>
                  </a:gs>
                  <a:gs pos="80000">
                    <a:srgbClr val="FF9933"/>
                  </a:gs>
                </a:gsLst>
                <a:lin ang="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6D-4AA1-B0A7-E8A38563C6D8}"/>
              </c:ext>
            </c:extLst>
          </c:dPt>
          <c:dPt>
            <c:idx val="2"/>
            <c:bubble3D val="0"/>
            <c:spPr>
              <a:gradFill>
                <a:gsLst>
                  <a:gs pos="22000">
                    <a:srgbClr val="FF9933"/>
                  </a:gs>
                  <a:gs pos="80000">
                    <a:srgbClr val="C00000"/>
                  </a:gs>
                </a:gsLst>
                <a:lin ang="1800000" scaled="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346D-4AA1-B0A7-E8A38563C6D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6D-4AA1-B0A7-E8A38563C6D8}"/>
              </c:ext>
            </c:extLst>
          </c:dPt>
          <c:val>
            <c:numRef>
              <c:f>'Gauge Charts'!$P$4:$P$7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6D-4AA1-B0A7-E8A38563C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Pointer</c:v>
          </c:tx>
          <c:spPr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346D-4AA1-B0A7-E8A38563C6D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346D-4AA1-B0A7-E8A38563C6D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6D-4AA1-B0A7-E8A38563C6D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46D-4AA1-B0A7-E8A38563C6D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83C00A9-EA01-4B69-A00A-C11FDD10187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346D-4AA1-B0A7-E8A38563C6D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46D-4AA1-B0A7-E8A38563C6D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'Gauge Charts'!$Q$4:$Q$6</c:f>
              <c:numCache>
                <c:formatCode>General</c:formatCode>
                <c:ptCount val="3"/>
                <c:pt idx="0" formatCode="0&quot;mm&quot;">
                  <c:v>7500</c:v>
                </c:pt>
                <c:pt idx="1">
                  <c:v>50</c:v>
                </c:pt>
                <c:pt idx="2">
                  <c:v>11850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'Gauge Charts'!$Q$3:$Q$5</c15:f>
                <c15:dlblRangeCache>
                  <c:ptCount val="3"/>
                  <c:pt idx="0">
                    <c:v>Pointer</c:v>
                  </c:pt>
                  <c:pt idx="1">
                    <c:v>7500mm</c:v>
                  </c:pt>
                  <c:pt idx="2">
                    <c:v>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46D-4AA1-B0A7-E8A38563C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0"/>
        <c:ser>
          <c:idx val="0"/>
          <c:order val="0"/>
          <c:tx>
            <c:v>GAUGE</c:v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dPt>
            <c:idx val="0"/>
            <c:bubble3D val="0"/>
            <c:spPr>
              <a:gradFill>
                <a:gsLst>
                  <a:gs pos="0">
                    <a:srgbClr val="FFFF99"/>
                  </a:gs>
                  <a:gs pos="100000">
                    <a:srgbClr val="FF0000">
                      <a:lumMod val="100000"/>
                    </a:srgbClr>
                  </a:gs>
                </a:gsLst>
                <a:lin ang="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4DD-4908-A46A-E82792176F63}"/>
              </c:ext>
            </c:extLst>
          </c:dPt>
          <c:dPt>
            <c:idx val="1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4DD-4908-A46A-E82792176F63}"/>
              </c:ext>
            </c:extLst>
          </c:dPt>
          <c:val>
            <c:numRef>
              <c:f>Gauge!$B$13:$C$13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DD-4908-A46A-E82792176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doughnutChart>
        <c:varyColors val="0"/>
        <c:ser>
          <c:idx val="1"/>
          <c:order val="1"/>
          <c:tx>
            <c:v>METER</c:v>
          </c:tx>
          <c:spPr>
            <a:noFill/>
            <a:ln w="6350">
              <a:solidFill>
                <a:schemeClr val="tx1"/>
              </a:solidFill>
            </a:ln>
            <a:effectLst/>
          </c:spPr>
          <c:dPt>
            <c:idx val="0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74DD-4908-A46A-E82792176F6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63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4DD-4908-A46A-E82792176F63}"/>
              </c:ext>
            </c:extLst>
          </c:dPt>
          <c:dPt>
            <c:idx val="2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4DD-4908-A46A-E82792176F63}"/>
              </c:ext>
            </c:extLst>
          </c:dPt>
          <c:dPt>
            <c:idx val="3"/>
            <c:bubble3D val="0"/>
            <c:spPr>
              <a:noFill/>
              <a:ln w="63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4DD-4908-A46A-E82792176F63}"/>
              </c:ext>
            </c:extLst>
          </c:dPt>
          <c:val>
            <c:numRef>
              <c:f>Gauge!$C$15:$C$18</c:f>
              <c:numCache>
                <c:formatCode>General</c:formatCode>
                <c:ptCount val="4"/>
                <c:pt idx="0">
                  <c:v>940</c:v>
                </c:pt>
                <c:pt idx="1">
                  <c:v>20</c:v>
                </c:pt>
                <c:pt idx="2">
                  <c:v>8740</c:v>
                </c:pt>
                <c:pt idx="3">
                  <c:v>9700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4DD-4908-A46A-E82792176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643890</xdr:colOff>
      <xdr:row>10</xdr:row>
      <xdr:rowOff>107950</xdr:rowOff>
    </xdr:from>
    <xdr:to>
      <xdr:col>11</xdr:col>
      <xdr:colOff>460290</xdr:colOff>
      <xdr:row>42</xdr:row>
      <xdr:rowOff>13250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99F1F66-2B9B-4CE4-9A03-82931C2CD9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330200</xdr:colOff>
      <xdr:row>7</xdr:row>
      <xdr:rowOff>41275</xdr:rowOff>
    </xdr:from>
    <xdr:to>
      <xdr:col>18</xdr:col>
      <xdr:colOff>254000</xdr:colOff>
      <xdr:row>36</xdr:row>
      <xdr:rowOff>165100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1C30628-4641-1BAE-8405-919809D86A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topLeftCell="A2" zoomScaleNormal="100" workbookViewId="0">
      <selection activeCell="A3" sqref="A3:N9"/>
    </sheetView>
  </sheetViews>
  <sheetFormatPr defaultRowHeight="14.4" x14ac:dyDescent="0.3"/>
  <cols>
    <col min="1" max="1" width="16.44140625" customWidth="1"/>
    <col min="2" max="10" width="9.5546875" customWidth="1"/>
    <col min="15" max="15" width="5" customWidth="1"/>
    <col min="17" max="17" width="9.5546875" bestFit="1" customWidth="1"/>
  </cols>
  <sheetData>
    <row r="1" spans="1:17" s="2" customFormat="1" ht="35.700000000000003" customHeight="1" x14ac:dyDescent="0.45">
      <c r="A1" s="9" t="s">
        <v>13</v>
      </c>
      <c r="B1" s="3"/>
      <c r="C1" s="3"/>
      <c r="D1" s="3"/>
      <c r="E1" s="3"/>
      <c r="F1" s="7"/>
      <c r="G1" s="3"/>
      <c r="I1" s="6"/>
    </row>
    <row r="3" spans="1:17" x14ac:dyDescent="0.3">
      <c r="A3" s="11" t="s">
        <v>14</v>
      </c>
      <c r="B3" s="8">
        <v>2010</v>
      </c>
      <c r="C3" s="8">
        <v>2020</v>
      </c>
      <c r="D3" s="8">
        <v>2030</v>
      </c>
      <c r="E3" s="8">
        <v>2040</v>
      </c>
      <c r="F3" s="8">
        <v>2050</v>
      </c>
      <c r="G3" s="8">
        <v>2060</v>
      </c>
      <c r="H3" s="8">
        <v>2070</v>
      </c>
      <c r="I3" s="8">
        <v>2080</v>
      </c>
      <c r="J3" s="8">
        <v>2090</v>
      </c>
      <c r="K3" s="8">
        <v>2100</v>
      </c>
      <c r="L3" s="8">
        <v>2120</v>
      </c>
      <c r="M3" s="8">
        <v>2150</v>
      </c>
      <c r="N3" s="8">
        <v>2200</v>
      </c>
      <c r="P3" s="12" t="s">
        <v>4</v>
      </c>
      <c r="Q3" s="12" t="s">
        <v>3</v>
      </c>
    </row>
    <row r="4" spans="1:17" x14ac:dyDescent="0.3">
      <c r="A4" t="s">
        <v>5</v>
      </c>
      <c r="B4" s="4">
        <v>30</v>
      </c>
      <c r="C4" s="4">
        <v>60</v>
      </c>
      <c r="D4" s="4">
        <v>90</v>
      </c>
      <c r="E4" s="4">
        <v>130</v>
      </c>
      <c r="F4" s="4">
        <v>160</v>
      </c>
      <c r="G4" s="4">
        <v>190</v>
      </c>
      <c r="H4" s="4">
        <v>220</v>
      </c>
      <c r="I4" s="4">
        <v>250</v>
      </c>
      <c r="J4" s="4">
        <v>280</v>
      </c>
      <c r="K4">
        <v>300</v>
      </c>
      <c r="L4">
        <v>340</v>
      </c>
      <c r="M4">
        <v>370</v>
      </c>
      <c r="N4">
        <v>390</v>
      </c>
      <c r="P4" s="5">
        <v>1</v>
      </c>
      <c r="Q4" s="13">
        <f>INDEX(B4:N9,MATCH(A13,scenarios,0),MATCH(A16,gmsl_year,0))</f>
        <v>7500</v>
      </c>
    </row>
    <row r="5" spans="1:17" x14ac:dyDescent="0.3">
      <c r="A5" t="s">
        <v>6</v>
      </c>
      <c r="B5" s="4">
        <v>40</v>
      </c>
      <c r="C5" s="4">
        <v>80</v>
      </c>
      <c r="D5" s="4">
        <v>130</v>
      </c>
      <c r="E5" s="4">
        <v>180</v>
      </c>
      <c r="F5" s="4">
        <v>240</v>
      </c>
      <c r="G5" s="4">
        <v>290</v>
      </c>
      <c r="H5" s="4">
        <v>350</v>
      </c>
      <c r="I5" s="4">
        <v>400</v>
      </c>
      <c r="J5" s="4">
        <v>450</v>
      </c>
      <c r="K5">
        <v>500</v>
      </c>
      <c r="L5">
        <v>600</v>
      </c>
      <c r="M5">
        <v>730</v>
      </c>
      <c r="N5">
        <v>950</v>
      </c>
      <c r="P5" s="5">
        <v>1</v>
      </c>
      <c r="Q5" s="5">
        <v>50</v>
      </c>
    </row>
    <row r="6" spans="1:17" x14ac:dyDescent="0.3">
      <c r="A6" t="s">
        <v>7</v>
      </c>
      <c r="B6" s="4">
        <v>40</v>
      </c>
      <c r="C6" s="4">
        <v>100</v>
      </c>
      <c r="D6" s="4">
        <v>160</v>
      </c>
      <c r="E6" s="4">
        <v>250</v>
      </c>
      <c r="F6" s="4">
        <v>340</v>
      </c>
      <c r="G6" s="4">
        <v>450</v>
      </c>
      <c r="H6" s="4">
        <v>570</v>
      </c>
      <c r="I6" s="4">
        <v>710</v>
      </c>
      <c r="J6" s="4">
        <v>850</v>
      </c>
      <c r="K6">
        <v>1000</v>
      </c>
      <c r="L6">
        <v>1300</v>
      </c>
      <c r="M6">
        <v>1800</v>
      </c>
      <c r="N6">
        <v>2800</v>
      </c>
      <c r="P6" s="5">
        <v>1</v>
      </c>
      <c r="Q6" s="5">
        <f>N9*2-SUM(Q4:Q5)</f>
        <v>11850</v>
      </c>
    </row>
    <row r="7" spans="1:17" x14ac:dyDescent="0.3">
      <c r="A7" t="s">
        <v>8</v>
      </c>
      <c r="B7" s="4">
        <v>50</v>
      </c>
      <c r="C7" s="4">
        <v>100</v>
      </c>
      <c r="D7" s="4">
        <v>190</v>
      </c>
      <c r="E7" s="4">
        <v>300</v>
      </c>
      <c r="F7" s="4">
        <v>440</v>
      </c>
      <c r="G7" s="4">
        <v>600</v>
      </c>
      <c r="H7" s="4">
        <v>790</v>
      </c>
      <c r="I7" s="4">
        <v>1000</v>
      </c>
      <c r="J7" s="4">
        <v>1200</v>
      </c>
      <c r="K7">
        <v>1500</v>
      </c>
      <c r="L7">
        <v>2000</v>
      </c>
      <c r="M7">
        <v>3100</v>
      </c>
      <c r="N7">
        <v>5100</v>
      </c>
      <c r="P7" s="5">
        <f>SUM(P4:P6)</f>
        <v>3</v>
      </c>
      <c r="Q7" s="5"/>
    </row>
    <row r="8" spans="1:17" x14ac:dyDescent="0.3">
      <c r="A8" t="s">
        <v>9</v>
      </c>
      <c r="B8" s="4">
        <v>50</v>
      </c>
      <c r="C8" s="4">
        <v>110</v>
      </c>
      <c r="D8" s="4">
        <v>210</v>
      </c>
      <c r="E8" s="4">
        <v>360</v>
      </c>
      <c r="F8" s="4">
        <v>540</v>
      </c>
      <c r="G8" s="4">
        <v>770</v>
      </c>
      <c r="H8" s="4">
        <v>1000</v>
      </c>
      <c r="I8" s="4">
        <v>1300</v>
      </c>
      <c r="J8" s="4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">
      <c r="A9" t="s">
        <v>10</v>
      </c>
      <c r="B9" s="4">
        <v>40</v>
      </c>
      <c r="C9" s="4">
        <v>110</v>
      </c>
      <c r="D9" s="4">
        <v>240</v>
      </c>
      <c r="E9" s="4">
        <v>410</v>
      </c>
      <c r="F9" s="4">
        <v>630</v>
      </c>
      <c r="G9" s="4">
        <v>900</v>
      </c>
      <c r="H9" s="4">
        <v>1200</v>
      </c>
      <c r="I9" s="4">
        <v>1600</v>
      </c>
      <c r="J9" s="4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">
      <c r="G10" s="1"/>
    </row>
    <row r="11" spans="1:17" x14ac:dyDescent="0.3">
      <c r="A11" s="14"/>
      <c r="B11" s="14"/>
      <c r="C11" s="14"/>
      <c r="D11" s="14"/>
      <c r="E11" s="14"/>
      <c r="F11" s="14"/>
      <c r="G11" s="15"/>
      <c r="H11" s="14"/>
      <c r="I11" s="14"/>
      <c r="J11" s="14"/>
      <c r="K11" s="14"/>
      <c r="L11" s="14"/>
      <c r="M11" s="14"/>
      <c r="N11" s="14"/>
    </row>
    <row r="12" spans="1:17" x14ac:dyDescent="0.3">
      <c r="A12" s="11" t="s">
        <v>11</v>
      </c>
      <c r="B12" s="14"/>
      <c r="C12" s="14"/>
      <c r="D12" s="14"/>
      <c r="E12" s="14"/>
      <c r="F12" s="14"/>
      <c r="G12" s="15"/>
      <c r="H12" s="14"/>
      <c r="I12" s="14"/>
      <c r="J12" s="14"/>
      <c r="K12" s="14"/>
      <c r="L12" s="14"/>
      <c r="M12" s="14"/>
      <c r="N12" s="14"/>
    </row>
    <row r="13" spans="1:17" x14ac:dyDescent="0.3">
      <c r="A13" s="14" t="s">
        <v>9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</row>
    <row r="14" spans="1:17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</row>
    <row r="15" spans="1:17" x14ac:dyDescent="0.3">
      <c r="A15" s="11" t="s">
        <v>2</v>
      </c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</row>
    <row r="16" spans="1:17" x14ac:dyDescent="0.3">
      <c r="A16" s="16">
        <v>2200</v>
      </c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</row>
    <row r="17" spans="1:14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</row>
    <row r="18" spans="1:14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</row>
    <row r="19" spans="1:14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</row>
    <row r="20" spans="1:14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</row>
    <row r="21" spans="1:14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</row>
    <row r="22" spans="1:14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</row>
    <row r="23" spans="1:14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</row>
    <row r="24" spans="1:14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</row>
    <row r="25" spans="1:14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</row>
    <row r="26" spans="1:14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</row>
    <row r="27" spans="1:14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</row>
    <row r="28" spans="1:14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</row>
    <row r="29" spans="1:14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</row>
    <row r="51" spans="1:1" x14ac:dyDescent="0.3">
      <c r="A51" s="10" t="s">
        <v>12</v>
      </c>
    </row>
    <row r="52" spans="1:1" x14ac:dyDescent="0.3">
      <c r="A52" s="10" t="s">
        <v>0</v>
      </c>
    </row>
    <row r="53" spans="1:1" x14ac:dyDescent="0.3">
      <c r="A53" s="10" t="s">
        <v>1</v>
      </c>
    </row>
    <row r="54" spans="1:1" x14ac:dyDescent="0.3">
      <c r="A54" s="10"/>
    </row>
  </sheetData>
  <dataValidations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25060-4BBF-4F9A-BA48-719FC16B35C5}">
  <dimension ref="A1:Q18"/>
  <sheetViews>
    <sheetView tabSelected="1" zoomScale="120" zoomScaleNormal="120" workbookViewId="0">
      <selection activeCell="Q2" sqref="Q2"/>
    </sheetView>
  </sheetViews>
  <sheetFormatPr defaultRowHeight="14.4" x14ac:dyDescent="0.3"/>
  <cols>
    <col min="1" max="1" width="18.109375" style="18" bestFit="1" customWidth="1"/>
    <col min="2" max="2" width="5.44140625" style="18" bestFit="1" customWidth="1"/>
    <col min="3" max="3" width="6" style="18" bestFit="1" customWidth="1"/>
    <col min="4" max="4" width="15.44140625" style="18" customWidth="1"/>
    <col min="5" max="14" width="5.44140625" style="18" bestFit="1" customWidth="1"/>
    <col min="15" max="15" width="8.88671875" style="18"/>
    <col min="16" max="16" width="17.21875" style="18" customWidth="1"/>
    <col min="17" max="17" width="6.6640625" style="18" customWidth="1"/>
    <col min="18" max="16384" width="8.88671875" style="18"/>
  </cols>
  <sheetData>
    <row r="1" spans="1:17" ht="15.6" x14ac:dyDescent="0.3">
      <c r="A1" s="17" t="s">
        <v>14</v>
      </c>
      <c r="B1" s="21">
        <v>2010</v>
      </c>
      <c r="C1" s="21">
        <v>2020</v>
      </c>
      <c r="D1" s="21">
        <v>2030</v>
      </c>
      <c r="E1" s="21">
        <v>2040</v>
      </c>
      <c r="F1" s="21">
        <v>2050</v>
      </c>
      <c r="G1" s="21">
        <v>2060</v>
      </c>
      <c r="H1" s="21">
        <v>2070</v>
      </c>
      <c r="I1" s="21">
        <v>2080</v>
      </c>
      <c r="J1" s="21">
        <v>2090</v>
      </c>
      <c r="K1" s="21">
        <v>2100</v>
      </c>
      <c r="L1" s="21">
        <v>2120</v>
      </c>
      <c r="M1" s="21">
        <v>2150</v>
      </c>
      <c r="N1" s="21">
        <v>2200</v>
      </c>
      <c r="P1" s="19" t="s">
        <v>11</v>
      </c>
      <c r="Q1" s="20" t="s">
        <v>2</v>
      </c>
    </row>
    <row r="2" spans="1:17" ht="15.6" x14ac:dyDescent="0.3">
      <c r="A2" s="22" t="s">
        <v>5</v>
      </c>
      <c r="B2" s="17">
        <v>30</v>
      </c>
      <c r="C2" s="17">
        <v>60</v>
      </c>
      <c r="D2" s="17">
        <v>90</v>
      </c>
      <c r="E2" s="17">
        <v>130</v>
      </c>
      <c r="F2" s="17">
        <v>160</v>
      </c>
      <c r="G2" s="17">
        <v>190</v>
      </c>
      <c r="H2" s="17">
        <v>220</v>
      </c>
      <c r="I2" s="17">
        <v>250</v>
      </c>
      <c r="J2" s="17">
        <v>280</v>
      </c>
      <c r="K2" s="17">
        <v>300</v>
      </c>
      <c r="L2" s="17">
        <v>340</v>
      </c>
      <c r="M2" s="17">
        <v>370</v>
      </c>
      <c r="N2" s="17">
        <v>390</v>
      </c>
      <c r="P2" s="18" t="s">
        <v>6</v>
      </c>
      <c r="Q2" s="18">
        <v>2200</v>
      </c>
    </row>
    <row r="3" spans="1:17" ht="15.6" x14ac:dyDescent="0.3">
      <c r="A3" s="22" t="s">
        <v>6</v>
      </c>
      <c r="B3" s="17">
        <v>40</v>
      </c>
      <c r="C3" s="17">
        <v>80</v>
      </c>
      <c r="D3" s="17">
        <v>130</v>
      </c>
      <c r="E3" s="17">
        <v>180</v>
      </c>
      <c r="F3" s="17">
        <v>240</v>
      </c>
      <c r="G3" s="17">
        <v>290</v>
      </c>
      <c r="H3" s="17">
        <v>350</v>
      </c>
      <c r="I3" s="17">
        <v>400</v>
      </c>
      <c r="J3" s="17">
        <v>450</v>
      </c>
      <c r="K3" s="17">
        <v>500</v>
      </c>
      <c r="L3" s="17">
        <v>600</v>
      </c>
      <c r="M3" s="17">
        <v>730</v>
      </c>
      <c r="N3" s="17">
        <v>950</v>
      </c>
    </row>
    <row r="4" spans="1:17" ht="15.6" x14ac:dyDescent="0.3">
      <c r="A4" s="22" t="s">
        <v>7</v>
      </c>
      <c r="B4" s="17">
        <v>40</v>
      </c>
      <c r="C4" s="17">
        <v>100</v>
      </c>
      <c r="D4" s="17">
        <v>160</v>
      </c>
      <c r="E4" s="17">
        <v>250</v>
      </c>
      <c r="F4" s="17">
        <v>340</v>
      </c>
      <c r="G4" s="17">
        <v>450</v>
      </c>
      <c r="H4" s="17">
        <v>570</v>
      </c>
      <c r="I4" s="17">
        <v>710</v>
      </c>
      <c r="J4" s="17">
        <v>850</v>
      </c>
      <c r="K4" s="17">
        <v>1000</v>
      </c>
      <c r="L4" s="17">
        <v>1300</v>
      </c>
      <c r="M4" s="17">
        <v>1800</v>
      </c>
      <c r="N4" s="17">
        <v>2800</v>
      </c>
      <c r="P4" s="23">
        <f>INDEX($B$2:$N$7,MATCH($P$2,$A$2:$A$7,0),MATCH($Q$2,$B$1:$N$1,0))</f>
        <v>950</v>
      </c>
      <c r="Q4" s="23"/>
    </row>
    <row r="5" spans="1:17" ht="15.6" x14ac:dyDescent="0.3">
      <c r="A5" s="22" t="s">
        <v>8</v>
      </c>
      <c r="B5" s="17">
        <v>50</v>
      </c>
      <c r="C5" s="17">
        <v>100</v>
      </c>
      <c r="D5" s="17">
        <v>190</v>
      </c>
      <c r="E5" s="17">
        <v>300</v>
      </c>
      <c r="F5" s="17">
        <v>440</v>
      </c>
      <c r="G5" s="17">
        <v>600</v>
      </c>
      <c r="H5" s="17">
        <v>790</v>
      </c>
      <c r="I5" s="17">
        <v>1000</v>
      </c>
      <c r="J5" s="17">
        <v>1200</v>
      </c>
      <c r="K5" s="17">
        <v>1500</v>
      </c>
      <c r="L5" s="17">
        <v>2000</v>
      </c>
      <c r="M5" s="17">
        <v>3100</v>
      </c>
      <c r="N5" s="17">
        <v>5100</v>
      </c>
    </row>
    <row r="6" spans="1:17" ht="15.6" x14ac:dyDescent="0.3">
      <c r="A6" s="22" t="s">
        <v>9</v>
      </c>
      <c r="B6" s="17">
        <v>50</v>
      </c>
      <c r="C6" s="17">
        <v>110</v>
      </c>
      <c r="D6" s="17">
        <v>210</v>
      </c>
      <c r="E6" s="17">
        <v>360</v>
      </c>
      <c r="F6" s="17">
        <v>540</v>
      </c>
      <c r="G6" s="17">
        <v>770</v>
      </c>
      <c r="H6" s="17">
        <v>1000</v>
      </c>
      <c r="I6" s="17">
        <v>1300</v>
      </c>
      <c r="J6" s="17">
        <v>1700</v>
      </c>
      <c r="K6" s="17">
        <v>2000</v>
      </c>
      <c r="L6" s="17">
        <v>2800</v>
      </c>
      <c r="M6" s="17">
        <v>4300</v>
      </c>
      <c r="N6" s="17">
        <v>7500</v>
      </c>
    </row>
    <row r="7" spans="1:17" ht="15.6" x14ac:dyDescent="0.3">
      <c r="A7" s="22" t="s">
        <v>10</v>
      </c>
      <c r="B7" s="17">
        <v>40</v>
      </c>
      <c r="C7" s="17">
        <v>110</v>
      </c>
      <c r="D7" s="17">
        <v>240</v>
      </c>
      <c r="E7" s="17">
        <v>410</v>
      </c>
      <c r="F7" s="17">
        <v>630</v>
      </c>
      <c r="G7" s="17">
        <v>900</v>
      </c>
      <c r="H7" s="17">
        <v>1200</v>
      </c>
      <c r="I7" s="17">
        <v>1600</v>
      </c>
      <c r="J7" s="17">
        <v>2000</v>
      </c>
      <c r="K7" s="17">
        <v>2500</v>
      </c>
      <c r="L7" s="17">
        <v>3600</v>
      </c>
      <c r="M7" s="17">
        <v>5500</v>
      </c>
      <c r="N7" s="17">
        <v>9700</v>
      </c>
    </row>
    <row r="10" spans="1:17" x14ac:dyDescent="0.3">
      <c r="A10" s="18" t="s">
        <v>15</v>
      </c>
      <c r="B10" s="18" t="s">
        <v>16</v>
      </c>
      <c r="D10" s="18" t="s">
        <v>17</v>
      </c>
    </row>
    <row r="11" spans="1:17" x14ac:dyDescent="0.3">
      <c r="A11" s="18">
        <f>MIN($B$2:$N$7)</f>
        <v>30</v>
      </c>
      <c r="B11" s="18">
        <f>MAX($B$2:$N$7)</f>
        <v>9700</v>
      </c>
      <c r="D11" s="18" t="s">
        <v>18</v>
      </c>
    </row>
    <row r="13" spans="1:17" x14ac:dyDescent="0.3">
      <c r="A13" s="18" t="s">
        <v>19</v>
      </c>
      <c r="B13" s="18">
        <v>50</v>
      </c>
      <c r="C13" s="18">
        <v>50</v>
      </c>
    </row>
    <row r="15" spans="1:17" x14ac:dyDescent="0.3">
      <c r="A15" s="18" t="s">
        <v>21</v>
      </c>
      <c r="C15" s="18">
        <f>$P$4 - 10</f>
        <v>940</v>
      </c>
    </row>
    <row r="16" spans="1:17" x14ac:dyDescent="0.3">
      <c r="A16" s="18" t="s">
        <v>23</v>
      </c>
      <c r="C16" s="18">
        <f>9700-($C$15 +$C$17)</f>
        <v>20</v>
      </c>
    </row>
    <row r="17" spans="1:3" x14ac:dyDescent="0.3">
      <c r="A17" s="18" t="s">
        <v>22</v>
      </c>
      <c r="C17" s="18">
        <f>MAX($B$2:$N$7) - $P$4 - 10</f>
        <v>8740</v>
      </c>
    </row>
    <row r="18" spans="1:3" x14ac:dyDescent="0.3">
      <c r="A18" s="18" t="s">
        <v>20</v>
      </c>
      <c r="C18" s="18">
        <f>MAX($B$2:$N$7)</f>
        <v>9700</v>
      </c>
    </row>
  </sheetData>
  <mergeCells count="1">
    <mergeCell ref="P4:Q4"/>
  </mergeCells>
  <dataValidations count="2">
    <dataValidation type="list" allowBlank="1" showInputMessage="1" showErrorMessage="1" sqref="P2" xr:uid="{9656DE9B-EE60-46D7-9F5C-623EBACCCD45}">
      <formula1>$A$2:$A$7</formula1>
    </dataValidation>
    <dataValidation type="list" allowBlank="1" showInputMessage="1" showErrorMessage="1" sqref="Q2" xr:uid="{D84934A6-6E4E-4693-92BA-483F9717A8E2}">
      <formula1>$B$1:$N$1</formula1>
    </dataValidation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Gauge Charts</vt:lpstr>
      <vt:lpstr>Gauge</vt:lpstr>
      <vt:lpstr>gmsl_year</vt:lpstr>
      <vt:lpstr>scenarios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Anoban</cp:lastModifiedBy>
  <dcterms:created xsi:type="dcterms:W3CDTF">2020-04-20T01:04:26Z</dcterms:created>
  <dcterms:modified xsi:type="dcterms:W3CDTF">2022-11-27T04:58:11Z</dcterms:modified>
</cp:coreProperties>
</file>