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Data Visualizations in Excel\Dynamic Visualizations\"/>
    </mc:Choice>
  </mc:AlternateContent>
  <xr:revisionPtr revIDLastSave="0" documentId="13_ncr:20001_{534E496B-2C58-4C2F-B30D-D3AF5DF878E1}" xr6:coauthVersionLast="47" xr6:coauthVersionMax="47" xr10:uidLastSave="{00000000-0000-0000-0000-000000000000}"/>
  <bookViews>
    <workbookView xWindow="-108" yWindow="-108" windowWidth="22140" windowHeight="13176" xr2:uid="{00000000-000D-0000-FFFF-FFFF00000000}"/>
  </bookViews>
  <sheets>
    <sheet name="State Waste Management" sheetId="22" r:id="rId1"/>
    <sheet name="Sheet1" sheetId="23" r:id="rId2"/>
  </sheets>
  <definedNames>
    <definedName name="State_Territory">'State Waste Management'!$B$17:$B$24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6" i="22" l="1"/>
  <c r="K7" i="22"/>
  <c r="K8" i="22"/>
  <c r="K9" i="22"/>
  <c r="K10" i="22"/>
  <c r="K11" i="22"/>
  <c r="K12" i="22"/>
  <c r="K5" i="22"/>
  <c r="J10" i="22"/>
  <c r="Q1" i="22"/>
  <c r="P1" i="22"/>
  <c r="I7" i="22" l="1"/>
  <c r="J7" i="22" s="1"/>
  <c r="I9" i="22"/>
  <c r="J9" i="22" s="1"/>
  <c r="I11" i="22"/>
  <c r="J11" i="22" s="1"/>
  <c r="I5" i="22"/>
  <c r="J5" i="22" s="1"/>
  <c r="I12" i="22" l="1"/>
  <c r="J12" i="22" s="1"/>
  <c r="I8" i="22"/>
  <c r="J8" i="22" s="1"/>
  <c r="I6" i="22"/>
  <c r="J6" i="22" s="1"/>
  <c r="E30" i="22" l="1"/>
  <c r="R1" i="22" s="1"/>
  <c r="E31" i="22"/>
  <c r="E32" i="22"/>
  <c r="E33" i="22"/>
  <c r="E34" i="22"/>
  <c r="E35" i="22"/>
  <c r="E36" i="22"/>
  <c r="E29" i="22"/>
  <c r="I17" i="22" l="1"/>
  <c r="J17" i="22" s="1"/>
  <c r="I18" i="22"/>
  <c r="J18" i="22" s="1"/>
  <c r="I19" i="22"/>
  <c r="J19" i="22" s="1"/>
  <c r="I20" i="22"/>
  <c r="J20" i="22" s="1"/>
  <c r="I21" i="22"/>
  <c r="J21" i="22" s="1"/>
  <c r="I22" i="22"/>
  <c r="J22" i="22" s="1"/>
  <c r="I23" i="22"/>
  <c r="J23" i="22" s="1"/>
  <c r="I24" i="22"/>
  <c r="J24" i="22" s="1"/>
</calcChain>
</file>

<file path=xl/sharedStrings.xml><?xml version="1.0" encoding="utf-8"?>
<sst xmlns="http://schemas.openxmlformats.org/spreadsheetml/2006/main" count="107" uniqueCount="75">
  <si>
    <t>CAGR</t>
  </si>
  <si>
    <t>ACT</t>
  </si>
  <si>
    <t>NSW</t>
  </si>
  <si>
    <t>NT</t>
  </si>
  <si>
    <t>SA</t>
  </si>
  <si>
    <t>WA</t>
  </si>
  <si>
    <t>https://www.environment.gov.au/system/files/resources/7381c1de-31d0-429b-912c-91a6dbc83af7/files/national-waste-report-2018.pdf</t>
  </si>
  <si>
    <t>Resource Recovery Rates by Region</t>
  </si>
  <si>
    <t>Core Waste Ton PC</t>
  </si>
  <si>
    <t>State/Territory</t>
  </si>
  <si>
    <t>QLD</t>
  </si>
  <si>
    <t>TAS</t>
  </si>
  <si>
    <t>VIC</t>
  </si>
  <si>
    <t>Resource recovery and recycling rates 2016-2017</t>
  </si>
  <si>
    <t>Landfill</t>
  </si>
  <si>
    <t>Recovery</t>
  </si>
  <si>
    <t>Recycling</t>
  </si>
  <si>
    <t>1 ▲▼</t>
  </si>
  <si>
    <t>2 ▲▼</t>
  </si>
  <si>
    <t>3 ▲▼</t>
  </si>
  <si>
    <t>4 ▲▼</t>
  </si>
  <si>
    <t>5 ▲▼</t>
  </si>
  <si>
    <t>6 ▲▼</t>
  </si>
  <si>
    <t>7 ▲▼</t>
  </si>
  <si>
    <t>8 ▲▼</t>
  </si>
  <si>
    <t>9 ▲▼</t>
  </si>
  <si>
    <t>10 ▲▼</t>
  </si>
  <si>
    <t>11 ▲▼</t>
  </si>
  <si>
    <t>12 ▲▼</t>
  </si>
  <si>
    <t>13 ▲▼</t>
  </si>
  <si>
    <t>14 ▲▼</t>
  </si>
  <si>
    <t>15 ▲▼</t>
  </si>
  <si>
    <t>16 ▲▼</t>
  </si>
  <si>
    <t>17 ▲▼</t>
  </si>
  <si>
    <t>18 ▲▼</t>
  </si>
  <si>
    <t>19 ▲▼</t>
  </si>
  <si>
    <t>20 ▲▼</t>
  </si>
  <si>
    <t>21 ▲▼</t>
  </si>
  <si>
    <t>22 ▲▼</t>
  </si>
  <si>
    <t>23 ▲▼</t>
  </si>
  <si>
    <t>24 ▲▼</t>
  </si>
  <si>
    <t>25 ▲▼</t>
  </si>
  <si>
    <t>26 ▲▼</t>
  </si>
  <si>
    <t>27 ▲▼</t>
  </si>
  <si>
    <t>28 ▲▼</t>
  </si>
  <si>
    <t>29 ▲▼</t>
  </si>
  <si>
    <t>30 ▲▼</t>
  </si>
  <si>
    <t>31 ▲▼</t>
  </si>
  <si>
    <t>32 ▲▼</t>
  </si>
  <si>
    <t>33 ▲▼</t>
  </si>
  <si>
    <t>34 ▲▼</t>
  </si>
  <si>
    <t>35 ▲▼</t>
  </si>
  <si>
    <t>36 ▲▼</t>
  </si>
  <si>
    <t>37 ▲▼</t>
  </si>
  <si>
    <t>38 ▲▼</t>
  </si>
  <si>
    <t>39 ▲▼</t>
  </si>
  <si>
    <t>40 ▲▼</t>
  </si>
  <si>
    <t>41 ▲▼</t>
  </si>
  <si>
    <t>42 ▲▼</t>
  </si>
  <si>
    <t>43 ▲▼</t>
  </si>
  <si>
    <t>44 ▲▼</t>
  </si>
  <si>
    <t>45 ▲▼</t>
  </si>
  <si>
    <t>46 ▲▼</t>
  </si>
  <si>
    <t>47 ▲▼</t>
  </si>
  <si>
    <t>48 ▲▼</t>
  </si>
  <si>
    <t>49 ▲▼</t>
  </si>
  <si>
    <t>50 ▲▼</t>
  </si>
  <si>
    <t>51 ▲▼</t>
  </si>
  <si>
    <t>52 ▲▼</t>
  </si>
  <si>
    <t>53 ▲▼</t>
  </si>
  <si>
    <t>54 ▲▼</t>
  </si>
  <si>
    <t>55 ▲▼</t>
  </si>
  <si>
    <t>56 ▲▼</t>
  </si>
  <si>
    <t>Australian State Waste Management Report</t>
  </si>
  <si>
    <t>▲▼■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</si>
</sst>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%"/>
    <numFmt numFmtId="168" formatCode="[Red]\▲;[Green]\▼;[Yellow]\■;"/>
    <numFmt numFmtId="172" formatCode="[Red][&gt;0.01]\■;[Green][&lt;-0.01]\■"/>
    <numFmt numFmtId="173" formatCode="[Red]General;[Green]General;"/>
  </numFmts>
  <fonts count="3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7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sz val="8"/>
      <name val="Calibri"/>
      <family val="2"/>
      <scheme val="minor"/>
    </font>
    <font>
      <b/>
      <sz val="18"/>
      <color theme="4"/>
      <name val="Calibri Light"/>
      <family val="2"/>
      <scheme val="major"/>
    </font>
    <font>
      <b/>
      <sz val="11"/>
      <color theme="4"/>
      <name val="Calibri"/>
      <family val="2"/>
      <scheme val="minor"/>
    </font>
    <font>
      <sz val="11"/>
      <color theme="4"/>
      <name val="Calibri"/>
      <family val="2"/>
      <scheme val="minor"/>
    </font>
    <font>
      <u/>
      <sz val="11"/>
      <color theme="4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11"/>
      <color theme="0"/>
      <name val="Arial"/>
      <family val="2"/>
    </font>
    <font>
      <sz val="16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38">
    <xf numFmtId="0" fontId="0" fillId="0" borderId="0" xfId="0"/>
    <xf numFmtId="0" fontId="0" fillId="33" borderId="0" xfId="0" applyFill="1"/>
    <xf numFmtId="0" fontId="17" fillId="33" borderId="0" xfId="0" applyFont="1" applyFill="1"/>
    <xf numFmtId="164" fontId="17" fillId="33" borderId="0" xfId="43" applyNumberFormat="1" applyFont="1" applyFill="1" applyBorder="1" applyAlignment="1">
      <alignment horizontal="center" vertical="center" wrapText="1"/>
    </xf>
    <xf numFmtId="0" fontId="17" fillId="33" borderId="0" xfId="0" applyFont="1" applyFill="1" applyAlignment="1">
      <alignment horizontal="center"/>
    </xf>
    <xf numFmtId="2" fontId="17" fillId="33" borderId="0" xfId="0" applyNumberFormat="1" applyFont="1" applyFill="1" applyAlignment="1">
      <alignment horizontal="center" vertical="center" wrapText="1"/>
    </xf>
    <xf numFmtId="0" fontId="21" fillId="33" borderId="0" xfId="0" applyFont="1" applyFill="1"/>
    <xf numFmtId="9" fontId="17" fillId="33" borderId="0" xfId="43" applyFont="1" applyFill="1" applyBorder="1"/>
    <xf numFmtId="0" fontId="19" fillId="33" borderId="0" xfId="0" applyFont="1" applyFill="1"/>
    <xf numFmtId="0" fontId="19" fillId="33" borderId="0" xfId="0" applyFont="1" applyFill="1" applyAlignment="1">
      <alignment horizontal="center"/>
    </xf>
    <xf numFmtId="0" fontId="0" fillId="33" borderId="0" xfId="0" applyFill="1" applyAlignment="1">
      <alignment horizontal="center"/>
    </xf>
    <xf numFmtId="0" fontId="22" fillId="33" borderId="0" xfId="0" applyFont="1" applyFill="1" applyAlignment="1">
      <alignment horizontal="center"/>
    </xf>
    <xf numFmtId="0" fontId="17" fillId="33" borderId="0" xfId="18" applyFill="1" applyBorder="1" applyAlignment="1">
      <alignment horizontal="center" vertical="center" wrapText="1"/>
    </xf>
    <xf numFmtId="0" fontId="20" fillId="33" borderId="0" xfId="0" applyFont="1" applyFill="1" applyAlignment="1">
      <alignment horizontal="center"/>
    </xf>
    <xf numFmtId="164" fontId="17" fillId="33" borderId="0" xfId="43" applyNumberFormat="1" applyFont="1" applyFill="1" applyBorder="1" applyAlignment="1">
      <alignment vertical="center" wrapText="1"/>
    </xf>
    <xf numFmtId="0" fontId="13" fillId="33" borderId="0" xfId="0" applyFont="1" applyFill="1"/>
    <xf numFmtId="9" fontId="17" fillId="33" borderId="0" xfId="0" applyNumberFormat="1" applyFont="1" applyFill="1" applyAlignment="1">
      <alignment horizontal="center"/>
    </xf>
    <xf numFmtId="9" fontId="17" fillId="33" borderId="0" xfId="0" applyNumberFormat="1" applyFont="1" applyFill="1"/>
    <xf numFmtId="0" fontId="13" fillId="33" borderId="0" xfId="18" applyFont="1" applyFill="1" applyBorder="1" applyAlignment="1">
      <alignment horizontal="left" vertical="center" wrapText="1"/>
    </xf>
    <xf numFmtId="0" fontId="13" fillId="33" borderId="0" xfId="18" applyFont="1" applyFill="1" applyBorder="1" applyAlignment="1">
      <alignment horizontal="center" vertical="center" wrapText="1"/>
    </xf>
    <xf numFmtId="9" fontId="17" fillId="33" borderId="0" xfId="43" applyFont="1" applyFill="1" applyBorder="1" applyAlignment="1">
      <alignment horizontal="center"/>
    </xf>
    <xf numFmtId="0" fontId="13" fillId="33" borderId="0" xfId="0" applyFont="1" applyFill="1" applyAlignment="1">
      <alignment horizontal="center"/>
    </xf>
    <xf numFmtId="0" fontId="24" fillId="33" borderId="0" xfId="1" applyFont="1" applyFill="1" applyBorder="1"/>
    <xf numFmtId="0" fontId="25" fillId="33" borderId="0" xfId="0" applyFont="1" applyFill="1"/>
    <xf numFmtId="0" fontId="25" fillId="33" borderId="0" xfId="0" applyFont="1" applyFill="1" applyAlignment="1">
      <alignment vertical="center" wrapText="1"/>
    </xf>
    <xf numFmtId="0" fontId="26" fillId="33" borderId="0" xfId="0" applyFont="1" applyFill="1"/>
    <xf numFmtId="0" fontId="27" fillId="33" borderId="0" xfId="42" applyFont="1" applyFill="1" applyBorder="1"/>
    <xf numFmtId="0" fontId="28" fillId="33" borderId="0" xfId="5" applyFont="1" applyFill="1" applyBorder="1" applyAlignment="1">
      <alignment vertical="center"/>
    </xf>
    <xf numFmtId="9" fontId="29" fillId="33" borderId="0" xfId="43" applyFont="1" applyFill="1" applyBorder="1" applyAlignment="1">
      <alignment horizontal="left" vertical="center" wrapText="1"/>
    </xf>
    <xf numFmtId="0" fontId="21" fillId="33" borderId="0" xfId="0" applyFont="1" applyFill="1" applyAlignment="1">
      <alignment horizontal="center"/>
    </xf>
    <xf numFmtId="0" fontId="21" fillId="33" borderId="0" xfId="43" applyNumberFormat="1" applyFont="1" applyFill="1" applyBorder="1"/>
    <xf numFmtId="9" fontId="21" fillId="33" borderId="0" xfId="43" applyFont="1" applyFill="1" applyBorder="1" applyAlignment="1"/>
    <xf numFmtId="9" fontId="21" fillId="33" borderId="0" xfId="43" applyFont="1" applyFill="1" applyBorder="1"/>
    <xf numFmtId="0" fontId="22" fillId="33" borderId="0" xfId="0" applyFont="1" applyFill="1"/>
    <xf numFmtId="0" fontId="30" fillId="33" borderId="0" xfId="0" applyFont="1" applyFill="1"/>
    <xf numFmtId="168" fontId="31" fillId="33" borderId="0" xfId="18" applyNumberFormat="1" applyFont="1" applyFill="1" applyBorder="1" applyAlignment="1">
      <alignment horizontal="center" vertical="center" wrapText="1"/>
    </xf>
    <xf numFmtId="172" fontId="31" fillId="33" borderId="0" xfId="18" applyNumberFormat="1" applyFont="1" applyFill="1" applyBorder="1" applyAlignment="1">
      <alignment horizontal="center" vertical="center" wrapText="1"/>
    </xf>
    <xf numFmtId="173" fontId="13" fillId="33" borderId="0" xfId="0" applyNumberFormat="1" applyFont="1" applyFill="1" applyAlignment="1">
      <alignment horizontal="center"/>
    </xf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 cent" xfId="43" builtinId="5"/>
    <cellStyle name="Title" xfId="1" builtinId="15" customBuiltin="1"/>
    <cellStyle name="Total" xfId="17" builtinId="25" customBuiltin="1"/>
    <cellStyle name="Warning Text" xfId="14" builtinId="11" customBuiltin="1"/>
  </cellStyles>
  <dxfs count="12">
    <dxf/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4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861818</xdr:colOff>
      <xdr:row>3</xdr:row>
      <xdr:rowOff>394</xdr:rowOff>
    </xdr:from>
    <xdr:to>
      <xdr:col>16</xdr:col>
      <xdr:colOff>966985</xdr:colOff>
      <xdr:row>26</xdr:row>
      <xdr:rowOff>68507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C18AF4BB-0CCE-4EE2-9F6E-20C08B4B79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4258" y="716674"/>
          <a:ext cx="4425707" cy="4274353"/>
        </a:xfrm>
        <a:prstGeom prst="rect">
          <a:avLst/>
        </a:prstGeom>
      </xdr:spPr>
    </xdr:pic>
    <xdr:clientData/>
  </xdr:twoCellAnchor>
  <xdr:twoCellAnchor editAs="absolute">
    <xdr:from>
      <xdr:col>11</xdr:col>
      <xdr:colOff>574278</xdr:colOff>
      <xdr:row>13</xdr:row>
      <xdr:rowOff>63479</xdr:rowOff>
    </xdr:from>
    <xdr:to>
      <xdr:col>12</xdr:col>
      <xdr:colOff>7518</xdr:colOff>
      <xdr:row>14</xdr:row>
      <xdr:rowOff>57070</xdr:rowOff>
    </xdr:to>
    <xdr:sp macro="[0]!WA" textlink="">
      <xdr:nvSpPr>
        <xdr:cNvPr id="9" name="Oval 8">
          <a:extLst>
            <a:ext uri="{FF2B5EF4-FFF2-40B4-BE49-F238E27FC236}">
              <a16:creationId xmlns:a16="http://schemas.microsoft.com/office/drawing/2014/main" id="{8BF50EA8-81DF-4117-B695-1294E1DBAA16}"/>
            </a:ext>
          </a:extLst>
        </xdr:cNvPr>
        <xdr:cNvSpPr/>
      </xdr:nvSpPr>
      <xdr:spPr>
        <a:xfrm>
          <a:off x="10044986" y="2644754"/>
          <a:ext cx="180000" cy="179329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absolute">
    <xdr:from>
      <xdr:col>14</xdr:col>
      <xdr:colOff>63329</xdr:colOff>
      <xdr:row>9</xdr:row>
      <xdr:rowOff>172807</xdr:rowOff>
    </xdr:from>
    <xdr:to>
      <xdr:col>14</xdr:col>
      <xdr:colOff>243329</xdr:colOff>
      <xdr:row>10</xdr:row>
      <xdr:rowOff>167573</xdr:rowOff>
    </xdr:to>
    <xdr:sp macro="[0]!NT" textlink="">
      <xdr:nvSpPr>
        <xdr:cNvPr id="16" name="Oval 15">
          <a:extLst>
            <a:ext uri="{FF2B5EF4-FFF2-40B4-BE49-F238E27FC236}">
              <a16:creationId xmlns:a16="http://schemas.microsoft.com/office/drawing/2014/main" id="{E9EDE49B-AF31-476F-B3AF-AF76D67457C7}"/>
            </a:ext>
          </a:extLst>
        </xdr:cNvPr>
        <xdr:cNvSpPr/>
      </xdr:nvSpPr>
      <xdr:spPr>
        <a:xfrm>
          <a:off x="11405699" y="2011132"/>
          <a:ext cx="180000" cy="180504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416326</xdr:colOff>
      <xdr:row>16</xdr:row>
      <xdr:rowOff>155726</xdr:rowOff>
    </xdr:from>
    <xdr:to>
      <xdr:col>15</xdr:col>
      <xdr:colOff>596326</xdr:colOff>
      <xdr:row>17</xdr:row>
      <xdr:rowOff>149989</xdr:rowOff>
    </xdr:to>
    <xdr:sp macro="[0]!NSW" textlink="">
      <xdr:nvSpPr>
        <xdr:cNvPr id="17" name="Oval 16">
          <a:extLst>
            <a:ext uri="{FF2B5EF4-FFF2-40B4-BE49-F238E27FC236}">
              <a16:creationId xmlns:a16="http://schemas.microsoft.com/office/drawing/2014/main" id="{736D3AAC-B6A2-4520-A727-BDD526AA0014}"/>
            </a:ext>
          </a:extLst>
        </xdr:cNvPr>
        <xdr:cNvSpPr/>
      </xdr:nvSpPr>
      <xdr:spPr>
        <a:xfrm>
          <a:off x="12541651" y="3294214"/>
          <a:ext cx="180000" cy="180000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419870</xdr:colOff>
      <xdr:row>9</xdr:row>
      <xdr:rowOff>171877</xdr:rowOff>
    </xdr:from>
    <xdr:to>
      <xdr:col>15</xdr:col>
      <xdr:colOff>598600</xdr:colOff>
      <xdr:row>10</xdr:row>
      <xdr:rowOff>166643</xdr:rowOff>
    </xdr:to>
    <xdr:sp macro="[0]!QLD" textlink="">
      <xdr:nvSpPr>
        <xdr:cNvPr id="18" name="Oval 17">
          <a:extLst>
            <a:ext uri="{FF2B5EF4-FFF2-40B4-BE49-F238E27FC236}">
              <a16:creationId xmlns:a16="http://schemas.microsoft.com/office/drawing/2014/main" id="{04A65E44-79DA-4716-B78D-F09FE2E7D116}"/>
            </a:ext>
          </a:extLst>
        </xdr:cNvPr>
        <xdr:cNvSpPr/>
      </xdr:nvSpPr>
      <xdr:spPr>
        <a:xfrm>
          <a:off x="12545195" y="2010202"/>
          <a:ext cx="178730" cy="180504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14</xdr:col>
      <xdr:colOff>184852</xdr:colOff>
      <xdr:row>15</xdr:row>
      <xdr:rowOff>117370</xdr:rowOff>
    </xdr:from>
    <xdr:to>
      <xdr:col>14</xdr:col>
      <xdr:colOff>364852</xdr:colOff>
      <xdr:row>16</xdr:row>
      <xdr:rowOff>111632</xdr:rowOff>
    </xdr:to>
    <xdr:sp macro="[0]!SA" textlink="">
      <xdr:nvSpPr>
        <xdr:cNvPr id="19" name="Oval 18">
          <a:extLst>
            <a:ext uri="{FF2B5EF4-FFF2-40B4-BE49-F238E27FC236}">
              <a16:creationId xmlns:a16="http://schemas.microsoft.com/office/drawing/2014/main" id="{68499301-25A0-4650-99A0-1706A961959B}"/>
            </a:ext>
          </a:extLst>
        </xdr:cNvPr>
        <xdr:cNvSpPr/>
      </xdr:nvSpPr>
      <xdr:spPr>
        <a:xfrm>
          <a:off x="11527222" y="3070120"/>
          <a:ext cx="180000" cy="180000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16</xdr:col>
      <xdr:colOff>79537</xdr:colOff>
      <xdr:row>19</xdr:row>
      <xdr:rowOff>61532</xdr:rowOff>
    </xdr:from>
    <xdr:to>
      <xdr:col>16</xdr:col>
      <xdr:colOff>259271</xdr:colOff>
      <xdr:row>20</xdr:row>
      <xdr:rowOff>54529</xdr:rowOff>
    </xdr:to>
    <xdr:sp macro="[0]!ACT" textlink="">
      <xdr:nvSpPr>
        <xdr:cNvPr id="20" name="Oval 19">
          <a:extLst>
            <a:ext uri="{FF2B5EF4-FFF2-40B4-BE49-F238E27FC236}">
              <a16:creationId xmlns:a16="http://schemas.microsoft.com/office/drawing/2014/main" id="{80EB8275-EF04-4451-B04E-4EDE120F3C7D}"/>
            </a:ext>
          </a:extLst>
        </xdr:cNvPr>
        <xdr:cNvSpPr/>
      </xdr:nvSpPr>
      <xdr:spPr>
        <a:xfrm>
          <a:off x="12987817" y="3757232"/>
          <a:ext cx="179734" cy="178735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419597</xdr:colOff>
      <xdr:row>20</xdr:row>
      <xdr:rowOff>161379</xdr:rowOff>
    </xdr:from>
    <xdr:to>
      <xdr:col>15</xdr:col>
      <xdr:colOff>599597</xdr:colOff>
      <xdr:row>21</xdr:row>
      <xdr:rowOff>156914</xdr:rowOff>
    </xdr:to>
    <xdr:sp macro="[0]!VIC" textlink="">
      <xdr:nvSpPr>
        <xdr:cNvPr id="21" name="Oval 20">
          <a:extLst>
            <a:ext uri="{FF2B5EF4-FFF2-40B4-BE49-F238E27FC236}">
              <a16:creationId xmlns:a16="http://schemas.microsoft.com/office/drawing/2014/main" id="{CCBBA96F-66BB-46DE-B016-8780C5543319}"/>
            </a:ext>
          </a:extLst>
        </xdr:cNvPr>
        <xdr:cNvSpPr/>
      </xdr:nvSpPr>
      <xdr:spPr>
        <a:xfrm>
          <a:off x="12544922" y="4042817"/>
          <a:ext cx="180000" cy="181272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542522</xdr:colOff>
      <xdr:row>24</xdr:row>
      <xdr:rowOff>47229</xdr:rowOff>
    </xdr:from>
    <xdr:to>
      <xdr:col>15</xdr:col>
      <xdr:colOff>722522</xdr:colOff>
      <xdr:row>25</xdr:row>
      <xdr:rowOff>41492</xdr:rowOff>
    </xdr:to>
    <xdr:sp macro="[0]!TAS" textlink="">
      <xdr:nvSpPr>
        <xdr:cNvPr id="22" name="Oval 21">
          <a:extLst>
            <a:ext uri="{FF2B5EF4-FFF2-40B4-BE49-F238E27FC236}">
              <a16:creationId xmlns:a16="http://schemas.microsoft.com/office/drawing/2014/main" id="{710D2AA7-271B-4E1C-999D-BFCC982C3AE3}"/>
            </a:ext>
          </a:extLst>
        </xdr:cNvPr>
        <xdr:cNvSpPr>
          <a:spLocks noChangeAspect="1"/>
        </xdr:cNvSpPr>
      </xdr:nvSpPr>
      <xdr:spPr>
        <a:xfrm>
          <a:off x="12667847" y="4671617"/>
          <a:ext cx="180000" cy="180000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483870</xdr:colOff>
      <xdr:row>26</xdr:row>
      <xdr:rowOff>171450</xdr:rowOff>
    </xdr:from>
    <xdr:to>
      <xdr:col>16</xdr:col>
      <xdr:colOff>52570</xdr:colOff>
      <xdr:row>28</xdr:row>
      <xdr:rowOff>150450</xdr:rowOff>
    </xdr:to>
    <xdr:sp macro="" textlink="$P$1">
      <xdr:nvSpPr>
        <xdr:cNvPr id="2" name="Flowchart: Terminator 1">
          <a:extLst>
            <a:ext uri="{FF2B5EF4-FFF2-40B4-BE49-F238E27FC236}">
              <a16:creationId xmlns:a16="http://schemas.microsoft.com/office/drawing/2014/main" id="{708AC497-5C92-41BA-A312-7F2C8A6B4717}"/>
            </a:ext>
          </a:extLst>
        </xdr:cNvPr>
        <xdr:cNvSpPr/>
      </xdr:nvSpPr>
      <xdr:spPr>
        <a:xfrm>
          <a:off x="9444990" y="5128260"/>
          <a:ext cx="1077460" cy="360000"/>
        </a:xfrm>
        <a:prstGeom prst="flowChartTerminator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CFB6A5B9-3E83-4675-BA1C-9244DB6AC662}" type="TxLink">
            <a:rPr lang="en-US" sz="1100" b="0" i="0" u="none" strike="noStrike">
              <a:solidFill>
                <a:srgbClr val="FFFFFF"/>
              </a:solidFill>
              <a:latin typeface="Calibri"/>
              <a:cs typeface="Calibri"/>
            </a:rPr>
            <a:pPr algn="ctr"/>
            <a:t>4%</a:t>
          </a:fld>
          <a:endParaRPr lang="en-AU" sz="1100"/>
        </a:p>
      </xdr:txBody>
    </xdr:sp>
    <xdr:clientData/>
  </xdr:twoCellAnchor>
  <xdr:twoCellAnchor>
    <xdr:from>
      <xdr:col>16</xdr:col>
      <xdr:colOff>267970</xdr:colOff>
      <xdr:row>26</xdr:row>
      <xdr:rowOff>171450</xdr:rowOff>
    </xdr:from>
    <xdr:to>
      <xdr:col>17</xdr:col>
      <xdr:colOff>243070</xdr:colOff>
      <xdr:row>28</xdr:row>
      <xdr:rowOff>150450</xdr:rowOff>
    </xdr:to>
    <xdr:sp macro="" textlink="$Q$1">
      <xdr:nvSpPr>
        <xdr:cNvPr id="12" name="Flowchart: Terminator 11">
          <a:extLst>
            <a:ext uri="{FF2B5EF4-FFF2-40B4-BE49-F238E27FC236}">
              <a16:creationId xmlns:a16="http://schemas.microsoft.com/office/drawing/2014/main" id="{A23D732B-150A-4EB8-AF8D-FA322133E656}"/>
            </a:ext>
          </a:extLst>
        </xdr:cNvPr>
        <xdr:cNvSpPr/>
      </xdr:nvSpPr>
      <xdr:spPr>
        <a:xfrm>
          <a:off x="10737850" y="5128260"/>
          <a:ext cx="1072380" cy="360000"/>
        </a:xfrm>
        <a:prstGeom prst="flowChartTerminator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D092D9B5-62EB-493A-A35D-55837C76EC96}" type="TxLink">
            <a:rPr lang="en-US" sz="1100" b="0" i="0" u="none" strike="noStrike">
              <a:solidFill>
                <a:srgbClr val="FFFFFF"/>
              </a:solidFill>
              <a:latin typeface="Calibri"/>
              <a:cs typeface="Calibri"/>
            </a:rPr>
            <a:pPr algn="ctr"/>
            <a:t>59%</a:t>
          </a:fld>
          <a:endParaRPr lang="en-AU" sz="1100"/>
        </a:p>
      </xdr:txBody>
    </xdr:sp>
    <xdr:clientData/>
  </xdr:twoCellAnchor>
  <xdr:twoCellAnchor>
    <xdr:from>
      <xdr:col>17</xdr:col>
      <xdr:colOff>459740</xdr:colOff>
      <xdr:row>26</xdr:row>
      <xdr:rowOff>168910</xdr:rowOff>
    </xdr:from>
    <xdr:to>
      <xdr:col>18</xdr:col>
      <xdr:colOff>410710</xdr:colOff>
      <xdr:row>28</xdr:row>
      <xdr:rowOff>150450</xdr:rowOff>
    </xdr:to>
    <xdr:sp macro="" textlink="$R$1">
      <xdr:nvSpPr>
        <xdr:cNvPr id="13" name="Flowchart: Terminator 12">
          <a:extLst>
            <a:ext uri="{FF2B5EF4-FFF2-40B4-BE49-F238E27FC236}">
              <a16:creationId xmlns:a16="http://schemas.microsoft.com/office/drawing/2014/main" id="{B1F15889-15EE-4CCF-8759-1374FCF6D88B}"/>
            </a:ext>
          </a:extLst>
        </xdr:cNvPr>
        <xdr:cNvSpPr/>
      </xdr:nvSpPr>
      <xdr:spPr>
        <a:xfrm>
          <a:off x="12026900" y="5125720"/>
          <a:ext cx="1074920" cy="362540"/>
        </a:xfrm>
        <a:prstGeom prst="flowChartTerminator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8B677DEE-362D-4429-9D72-36AB38390FE1}" type="TxLink">
            <a:rPr lang="en-US" sz="1100" b="0" i="0" u="none" strike="noStrike">
              <a:solidFill>
                <a:srgbClr val="FFFFFF"/>
              </a:solidFill>
              <a:latin typeface="Calibri"/>
              <a:cs typeface="Calibri"/>
            </a:rPr>
            <a:pPr algn="ctr"/>
            <a:t>37%</a:t>
          </a:fld>
          <a:endParaRPr lang="en-AU" sz="1100"/>
        </a:p>
      </xdr:txBody>
    </xdr:sp>
    <xdr:clientData/>
  </xdr:twoCellAnchor>
  <xdr:twoCellAnchor editAs="oneCell">
    <xdr:from>
      <xdr:col>18</xdr:col>
      <xdr:colOff>111760</xdr:colOff>
      <xdr:row>25</xdr:row>
      <xdr:rowOff>173990</xdr:rowOff>
    </xdr:from>
    <xdr:to>
      <xdr:col>18</xdr:col>
      <xdr:colOff>543760</xdr:colOff>
      <xdr:row>28</xdr:row>
      <xdr:rowOff>53143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8064DBA-0F35-4E1C-95D7-4C73AE87B3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02870" y="4947920"/>
          <a:ext cx="434540" cy="437080"/>
        </a:xfrm>
        <a:prstGeom prst="rect">
          <a:avLst/>
        </a:prstGeom>
      </xdr:spPr>
    </xdr:pic>
    <xdr:clientData/>
  </xdr:twoCellAnchor>
  <xdr:twoCellAnchor editAs="oneCell">
    <xdr:from>
      <xdr:col>15</xdr:col>
      <xdr:colOff>515761</xdr:colOff>
      <xdr:row>25</xdr:row>
      <xdr:rowOff>173990</xdr:rowOff>
    </xdr:from>
    <xdr:to>
      <xdr:col>16</xdr:col>
      <xdr:colOff>204423</xdr:colOff>
      <xdr:row>28</xdr:row>
      <xdr:rowOff>54413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19B4976-BBA5-4920-AF23-BCFA55E5ED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31261" y="4947920"/>
          <a:ext cx="433199" cy="438350"/>
        </a:xfrm>
        <a:prstGeom prst="rect">
          <a:avLst/>
        </a:prstGeom>
      </xdr:spPr>
    </xdr:pic>
    <xdr:clientData/>
  </xdr:twoCellAnchor>
  <xdr:twoCellAnchor editAs="oneCell">
    <xdr:from>
      <xdr:col>16</xdr:col>
      <xdr:colOff>1040411</xdr:colOff>
      <xdr:row>25</xdr:row>
      <xdr:rowOff>173990</xdr:rowOff>
    </xdr:from>
    <xdr:to>
      <xdr:col>17</xdr:col>
      <xdr:colOff>361655</xdr:colOff>
      <xdr:row>28</xdr:row>
      <xdr:rowOff>53143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9600B1F4-3652-4546-A407-93D78151CB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10291" y="4947920"/>
          <a:ext cx="430589" cy="43708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Blue">
      <a:dk1>
        <a:sysClr val="windowText" lastClr="000000"/>
      </a:dk1>
      <a:lt1>
        <a:sysClr val="window" lastClr="FFFFFF"/>
      </a:lt1>
      <a:dk2>
        <a:srgbClr val="17406D"/>
      </a:dk2>
      <a:lt2>
        <a:srgbClr val="DBEFF9"/>
      </a:lt2>
      <a:accent1>
        <a:srgbClr val="0F6FC6"/>
      </a:accent1>
      <a:accent2>
        <a:srgbClr val="009DD9"/>
      </a:accent2>
      <a:accent3>
        <a:srgbClr val="0BD0D9"/>
      </a:accent3>
      <a:accent4>
        <a:srgbClr val="10CF9B"/>
      </a:accent4>
      <a:accent5>
        <a:srgbClr val="7CCA62"/>
      </a:accent5>
      <a:accent6>
        <a:srgbClr val="A5C249"/>
      </a:accent6>
      <a:hlink>
        <a:srgbClr val="F49100"/>
      </a:hlink>
      <a:folHlink>
        <a:srgbClr val="85DFD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environment.gov.au/system/files/resources/7381c1de-31d0-429b-912c-91a6dbc83af7/files/national-waste-report-2018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DAAB3-D380-4A7D-BECF-F4CFB3E1F875}">
  <sheetPr codeName="Sheet19"/>
  <dimension ref="A1:W63"/>
  <sheetViews>
    <sheetView tabSelected="1" topLeftCell="E20" zoomScaleNormal="100" workbookViewId="0">
      <selection activeCell="J30" sqref="J30"/>
    </sheetView>
  </sheetViews>
  <sheetFormatPr defaultColWidth="9.109375" defaultRowHeight="14.7" customHeight="1" x14ac:dyDescent="0.3"/>
  <cols>
    <col min="1" max="1" width="1.21875" style="6" customWidth="1"/>
    <col min="2" max="2" width="14.109375" style="23" customWidth="1"/>
    <col min="3" max="9" width="13.109375" style="2" customWidth="1"/>
    <col min="10" max="10" width="10.88671875" style="4" customWidth="1"/>
    <col min="11" max="11" width="14.5546875" style="4" customWidth="1"/>
    <col min="12" max="12" width="10.88671875" style="4" customWidth="1"/>
    <col min="13" max="13" width="12.21875" style="2" customWidth="1"/>
    <col min="14" max="14" width="3.77734375" style="1" customWidth="1"/>
    <col min="15" max="16" width="10.77734375" style="1" customWidth="1"/>
    <col min="17" max="18" width="15.88671875" style="1" customWidth="1"/>
    <col min="19" max="21" width="10.77734375" style="1" customWidth="1"/>
    <col min="22" max="23" width="10.77734375" style="10" hidden="1" customWidth="1"/>
    <col min="24" max="26" width="10.77734375" style="1" customWidth="1"/>
    <col min="27" max="30" width="6.77734375" style="1" customWidth="1"/>
    <col min="31" max="16384" width="9.109375" style="1"/>
  </cols>
  <sheetData>
    <row r="1" spans="1:23" s="8" customFormat="1" ht="28.05" customHeight="1" x14ac:dyDescent="0.45">
      <c r="A1" s="6"/>
      <c r="B1" s="22" t="s">
        <v>73</v>
      </c>
      <c r="C1" s="2"/>
      <c r="D1" s="2"/>
      <c r="E1" s="2"/>
      <c r="F1" s="2"/>
      <c r="G1" s="2"/>
      <c r="H1" s="2"/>
      <c r="I1" s="7"/>
      <c r="J1" s="20"/>
      <c r="K1" s="20"/>
      <c r="L1" s="20"/>
      <c r="M1" s="29" t="s">
        <v>2</v>
      </c>
      <c r="N1" s="6"/>
      <c r="O1" s="30"/>
      <c r="P1" s="31">
        <f>VLOOKUP(M1,B29:E36,2,0)</f>
        <v>0.04</v>
      </c>
      <c r="Q1" s="32">
        <f>VLOOKUP(M1,B29:E36,3,0)</f>
        <v>0.59</v>
      </c>
      <c r="R1" s="32">
        <f>VLOOKUP(M1,B29:E36,4,0)</f>
        <v>0.37</v>
      </c>
      <c r="V1" s="9"/>
      <c r="W1" s="9"/>
    </row>
    <row r="2" spans="1:23" ht="14.7" customHeight="1" x14ac:dyDescent="0.3">
      <c r="I2" s="33"/>
      <c r="O2" s="2"/>
      <c r="Q2" s="2"/>
    </row>
    <row r="3" spans="1:23" ht="14.7" customHeight="1" x14ac:dyDescent="0.3">
      <c r="B3" s="27" t="s">
        <v>8</v>
      </c>
      <c r="I3" s="33"/>
      <c r="O3" s="2"/>
      <c r="P3" s="2"/>
      <c r="Q3" s="2"/>
      <c r="V3" s="11" t="s">
        <v>17</v>
      </c>
      <c r="W3" s="11" t="s">
        <v>45</v>
      </c>
    </row>
    <row r="4" spans="1:23" ht="14.7" customHeight="1" x14ac:dyDescent="0.3">
      <c r="B4" s="18" t="s">
        <v>9</v>
      </c>
      <c r="C4" s="19">
        <v>2007</v>
      </c>
      <c r="D4" s="19">
        <v>2009</v>
      </c>
      <c r="E4" s="19">
        <v>2011</v>
      </c>
      <c r="F4" s="19">
        <v>2013</v>
      </c>
      <c r="G4" s="19">
        <v>2015</v>
      </c>
      <c r="H4" s="19">
        <v>2017</v>
      </c>
      <c r="I4" s="19" t="s">
        <v>0</v>
      </c>
      <c r="J4" s="12"/>
      <c r="K4" s="12"/>
      <c r="L4" s="12"/>
      <c r="M4" s="12"/>
      <c r="V4" s="11" t="s">
        <v>18</v>
      </c>
      <c r="W4" s="11" t="s">
        <v>46</v>
      </c>
    </row>
    <row r="5" spans="1:23" ht="14.7" customHeight="1" x14ac:dyDescent="0.3">
      <c r="B5" s="24" t="s">
        <v>1</v>
      </c>
      <c r="C5" s="5">
        <v>2.0828402366863905</v>
      </c>
      <c r="D5" s="5">
        <v>2.0398860398860399</v>
      </c>
      <c r="E5" s="5">
        <v>2.4438356164383563</v>
      </c>
      <c r="F5" s="5">
        <v>1.8091603053435115</v>
      </c>
      <c r="G5" s="5">
        <v>2.1825000000000001</v>
      </c>
      <c r="H5" s="5">
        <v>2.3177339901477834</v>
      </c>
      <c r="I5" s="3">
        <f t="shared" ref="I5:I12" si="0">(H5/C5)^(1/10)-1</f>
        <v>1.0743048481739459E-2</v>
      </c>
      <c r="J5" s="35">
        <f>$I5</f>
        <v>1.0743048481739459E-2</v>
      </c>
      <c r="K5" s="36">
        <f>$I5</f>
        <v>1.0743048481739459E-2</v>
      </c>
      <c r="L5" s="35"/>
      <c r="V5" s="11" t="s">
        <v>19</v>
      </c>
      <c r="W5" s="11" t="s">
        <v>47</v>
      </c>
    </row>
    <row r="6" spans="1:23" ht="14.7" customHeight="1" x14ac:dyDescent="0.3">
      <c r="B6" s="24" t="s">
        <v>2</v>
      </c>
      <c r="C6" s="5">
        <v>2.3376068376068377</v>
      </c>
      <c r="D6" s="5">
        <v>2.6406740931162527</v>
      </c>
      <c r="E6" s="5">
        <v>2.4350974930362117</v>
      </c>
      <c r="F6" s="5">
        <v>2.3359302786214182</v>
      </c>
      <c r="G6" s="5">
        <v>2.3366749121208175</v>
      </c>
      <c r="H6" s="5">
        <v>2.319312644267761</v>
      </c>
      <c r="I6" s="3">
        <f t="shared" si="0"/>
        <v>-7.8537336340878117E-4</v>
      </c>
      <c r="J6" s="35">
        <f t="shared" ref="J6:K12" si="1">$I6</f>
        <v>-7.8537336340878117E-4</v>
      </c>
      <c r="K6" s="36">
        <f t="shared" si="1"/>
        <v>-7.8537336340878117E-4</v>
      </c>
      <c r="L6" s="35"/>
      <c r="V6" s="11" t="s">
        <v>20</v>
      </c>
      <c r="W6" s="11" t="s">
        <v>48</v>
      </c>
    </row>
    <row r="7" spans="1:23" ht="14.7" customHeight="1" x14ac:dyDescent="0.3">
      <c r="B7" s="24" t="s">
        <v>3</v>
      </c>
      <c r="C7" s="5">
        <v>2.5023696682464456</v>
      </c>
      <c r="D7" s="5">
        <v>1.6771300448430493</v>
      </c>
      <c r="E7" s="5">
        <v>1.6130434782608696</v>
      </c>
      <c r="F7" s="5">
        <v>1.9506172839506173</v>
      </c>
      <c r="G7" s="5">
        <v>1.9959016393442623</v>
      </c>
      <c r="H7" s="5">
        <v>1.416326530612245</v>
      </c>
      <c r="I7" s="3">
        <f t="shared" si="0"/>
        <v>-5.5327675408438859E-2</v>
      </c>
      <c r="J7" s="35">
        <f t="shared" si="1"/>
        <v>-5.5327675408438859E-2</v>
      </c>
      <c r="K7" s="36">
        <f t="shared" si="1"/>
        <v>-5.5327675408438859E-2</v>
      </c>
      <c r="L7" s="35"/>
      <c r="V7" s="11" t="s">
        <v>21</v>
      </c>
      <c r="W7" s="11" t="s">
        <v>49</v>
      </c>
    </row>
    <row r="8" spans="1:23" ht="14.7" customHeight="1" x14ac:dyDescent="0.3">
      <c r="B8" s="24" t="s">
        <v>10</v>
      </c>
      <c r="C8" s="5">
        <v>2.363412228796844</v>
      </c>
      <c r="D8" s="5">
        <v>2.2832086061739942</v>
      </c>
      <c r="E8" s="5">
        <v>2.0538652242506199</v>
      </c>
      <c r="F8" s="5">
        <v>2.2293288449400377</v>
      </c>
      <c r="G8" s="5">
        <v>2.1446083523789734</v>
      </c>
      <c r="H8" s="5">
        <v>2.3024160524160524</v>
      </c>
      <c r="I8" s="3">
        <f t="shared" si="0"/>
        <v>-2.6113250720505299E-3</v>
      </c>
      <c r="J8" s="35">
        <f t="shared" si="1"/>
        <v>-2.6113250720505299E-3</v>
      </c>
      <c r="K8" s="36">
        <f t="shared" si="1"/>
        <v>-2.6113250720505299E-3</v>
      </c>
      <c r="L8" s="35"/>
      <c r="V8" s="11" t="s">
        <v>22</v>
      </c>
      <c r="W8" s="11" t="s">
        <v>50</v>
      </c>
    </row>
    <row r="9" spans="1:23" ht="14.7" customHeight="1" x14ac:dyDescent="0.3">
      <c r="B9" s="24" t="s">
        <v>4</v>
      </c>
      <c r="C9" s="5">
        <v>1.9955156950672646</v>
      </c>
      <c r="D9" s="5">
        <v>2.0775969962453065</v>
      </c>
      <c r="E9" s="5">
        <v>2.346813725490196</v>
      </c>
      <c r="F9" s="5">
        <v>2.2497048406139317</v>
      </c>
      <c r="G9" s="5">
        <v>2.3831282952548332</v>
      </c>
      <c r="H9" s="5">
        <v>2.3494467093768199</v>
      </c>
      <c r="I9" s="3">
        <f t="shared" si="0"/>
        <v>1.6461760604046694E-2</v>
      </c>
      <c r="J9" s="35">
        <f t="shared" si="1"/>
        <v>1.6461760604046694E-2</v>
      </c>
      <c r="K9" s="36">
        <f t="shared" si="1"/>
        <v>1.6461760604046694E-2</v>
      </c>
      <c r="L9" s="35"/>
      <c r="P9" s="10"/>
      <c r="Q9" s="10"/>
      <c r="R9" s="10"/>
      <c r="S9" s="10"/>
      <c r="V9" s="11" t="s">
        <v>23</v>
      </c>
      <c r="W9" s="11" t="s">
        <v>51</v>
      </c>
    </row>
    <row r="10" spans="1:23" ht="14.7" customHeight="1" x14ac:dyDescent="0.3">
      <c r="B10" s="24" t="s">
        <v>11</v>
      </c>
      <c r="C10" s="5">
        <v>1.6890243902439024</v>
      </c>
      <c r="D10" s="5">
        <v>1.5677290836653386</v>
      </c>
      <c r="E10" s="5">
        <v>1.8117647058823529</v>
      </c>
      <c r="F10" s="5">
        <v>1.811284046692607</v>
      </c>
      <c r="G10" s="5">
        <v>2.0658914728682172</v>
      </c>
      <c r="H10" s="5">
        <v>1.8073217726396917</v>
      </c>
      <c r="I10" s="3">
        <v>0</v>
      </c>
      <c r="J10" s="35">
        <f t="shared" si="1"/>
        <v>0</v>
      </c>
      <c r="K10" s="36">
        <f t="shared" si="1"/>
        <v>0</v>
      </c>
      <c r="L10" s="35"/>
      <c r="P10" s="10"/>
      <c r="Q10" s="4" t="s">
        <v>3</v>
      </c>
      <c r="R10" s="4" t="s">
        <v>10</v>
      </c>
      <c r="S10" s="10"/>
      <c r="V10" s="11" t="s">
        <v>24</v>
      </c>
      <c r="W10" s="11" t="s">
        <v>52</v>
      </c>
    </row>
    <row r="11" spans="1:23" ht="14.7" customHeight="1" x14ac:dyDescent="0.3">
      <c r="B11" s="24" t="s">
        <v>12</v>
      </c>
      <c r="C11" s="5">
        <v>2.3683385579937304</v>
      </c>
      <c r="D11" s="5">
        <v>2.1680782985130813</v>
      </c>
      <c r="E11" s="5">
        <v>2.3957423580786026</v>
      </c>
      <c r="F11" s="5">
        <v>2.20465973851827</v>
      </c>
      <c r="G11" s="5">
        <v>2.1877664808133814</v>
      </c>
      <c r="H11" s="5">
        <v>2.1963484945547727</v>
      </c>
      <c r="I11" s="3">
        <f t="shared" si="0"/>
        <v>-7.5108984348842833E-3</v>
      </c>
      <c r="J11" s="35">
        <f t="shared" si="1"/>
        <v>-7.5108984348842833E-3</v>
      </c>
      <c r="K11" s="36">
        <f t="shared" si="1"/>
        <v>-7.5108984348842833E-3</v>
      </c>
      <c r="L11" s="35"/>
      <c r="P11" s="10"/>
      <c r="Q11" s="13"/>
      <c r="R11" s="13"/>
      <c r="S11" s="10"/>
      <c r="V11" s="11" t="s">
        <v>25</v>
      </c>
      <c r="W11" s="11" t="s">
        <v>53</v>
      </c>
    </row>
    <row r="12" spans="1:23" ht="14.7" customHeight="1" x14ac:dyDescent="0.3">
      <c r="B12" s="24" t="s">
        <v>5</v>
      </c>
      <c r="C12" s="5">
        <v>2.806451612903226</v>
      </c>
      <c r="D12" s="5">
        <v>2.7125396106835673</v>
      </c>
      <c r="E12" s="5">
        <v>2.7593790426908149</v>
      </c>
      <c r="F12" s="5">
        <v>2.6427161468614293</v>
      </c>
      <c r="G12" s="5">
        <v>2.2218737749902</v>
      </c>
      <c r="H12" s="5">
        <v>2.0179127725856696</v>
      </c>
      <c r="I12" s="3">
        <f t="shared" si="0"/>
        <v>-3.244762558946801E-2</v>
      </c>
      <c r="J12" s="35">
        <f t="shared" si="1"/>
        <v>-3.244762558946801E-2</v>
      </c>
      <c r="K12" s="36">
        <f t="shared" si="1"/>
        <v>-3.244762558946801E-2</v>
      </c>
      <c r="L12" s="35"/>
      <c r="P12" s="10"/>
      <c r="Q12" s="10"/>
      <c r="R12" s="10"/>
      <c r="S12" s="10"/>
      <c r="V12" s="11" t="s">
        <v>26</v>
      </c>
      <c r="W12" s="11" t="s">
        <v>54</v>
      </c>
    </row>
    <row r="13" spans="1:23" ht="14.7" customHeight="1" x14ac:dyDescent="0.3">
      <c r="P13" s="4" t="s">
        <v>5</v>
      </c>
      <c r="Q13" s="10"/>
      <c r="R13" s="10"/>
      <c r="S13" s="10"/>
      <c r="V13" s="11" t="s">
        <v>27</v>
      </c>
      <c r="W13" s="11" t="s">
        <v>55</v>
      </c>
    </row>
    <row r="14" spans="1:23" ht="14.7" customHeight="1" x14ac:dyDescent="0.3">
      <c r="P14" s="13" t="s">
        <v>5</v>
      </c>
      <c r="Q14" s="10"/>
      <c r="R14" s="10"/>
      <c r="S14" s="10"/>
      <c r="V14" s="11" t="s">
        <v>28</v>
      </c>
      <c r="W14" s="11" t="s">
        <v>56</v>
      </c>
    </row>
    <row r="15" spans="1:23" ht="14.7" customHeight="1" x14ac:dyDescent="0.3">
      <c r="B15" s="27" t="s">
        <v>7</v>
      </c>
      <c r="P15" s="13"/>
      <c r="Q15" s="4" t="s">
        <v>4</v>
      </c>
      <c r="R15" s="10"/>
      <c r="S15" s="10"/>
      <c r="V15" s="11" t="s">
        <v>29</v>
      </c>
      <c r="W15" s="11" t="s">
        <v>57</v>
      </c>
    </row>
    <row r="16" spans="1:23" ht="14.7" customHeight="1" x14ac:dyDescent="0.3">
      <c r="B16" s="18" t="s">
        <v>9</v>
      </c>
      <c r="C16" s="19">
        <v>2007</v>
      </c>
      <c r="D16" s="19">
        <v>2009</v>
      </c>
      <c r="E16" s="19">
        <v>2011</v>
      </c>
      <c r="F16" s="19">
        <v>2013</v>
      </c>
      <c r="G16" s="19">
        <v>2015</v>
      </c>
      <c r="H16" s="19">
        <v>2017</v>
      </c>
      <c r="I16" s="19" t="s">
        <v>0</v>
      </c>
      <c r="J16" s="12"/>
      <c r="K16" s="12"/>
      <c r="L16" s="12"/>
      <c r="M16" s="12"/>
      <c r="P16" s="10"/>
      <c r="Q16" s="13" t="s">
        <v>4</v>
      </c>
      <c r="R16" s="10"/>
      <c r="S16" s="10"/>
      <c r="V16" s="11" t="s">
        <v>30</v>
      </c>
      <c r="W16" s="11" t="s">
        <v>58</v>
      </c>
    </row>
    <row r="17" spans="1:23" ht="14.7" customHeight="1" x14ac:dyDescent="0.3">
      <c r="B17" s="24" t="s">
        <v>1</v>
      </c>
      <c r="C17" s="28">
        <v>0.76</v>
      </c>
      <c r="D17" s="28">
        <v>0.77</v>
      </c>
      <c r="E17" s="28">
        <v>0.76</v>
      </c>
      <c r="F17" s="28">
        <v>0.74</v>
      </c>
      <c r="G17" s="28">
        <v>0.72</v>
      </c>
      <c r="H17" s="28">
        <v>0.53</v>
      </c>
      <c r="I17" s="3">
        <f t="shared" ref="I17:I24" si="2">(H17/C17)^(1/10)-1</f>
        <v>-3.5402287378497377E-2</v>
      </c>
      <c r="J17" s="3">
        <f>I17</f>
        <v>-3.5402287378497377E-2</v>
      </c>
      <c r="K17" s="3"/>
      <c r="L17" s="3"/>
      <c r="P17" s="10"/>
      <c r="Q17" s="13"/>
      <c r="R17" s="4" t="s">
        <v>2</v>
      </c>
      <c r="S17" s="10"/>
      <c r="V17" s="11" t="s">
        <v>31</v>
      </c>
      <c r="W17" s="11" t="s">
        <v>59</v>
      </c>
    </row>
    <row r="18" spans="1:23" ht="14.7" customHeight="1" x14ac:dyDescent="0.3">
      <c r="B18" s="24" t="s">
        <v>2</v>
      </c>
      <c r="C18" s="28">
        <v>0.62</v>
      </c>
      <c r="D18" s="28">
        <v>0.6</v>
      </c>
      <c r="E18" s="28">
        <v>0.65</v>
      </c>
      <c r="F18" s="28">
        <v>0.66</v>
      </c>
      <c r="G18" s="28">
        <v>0.64</v>
      </c>
      <c r="H18" s="28">
        <v>0.62</v>
      </c>
      <c r="I18" s="3">
        <f t="shared" si="2"/>
        <v>0</v>
      </c>
      <c r="J18" s="3">
        <f t="shared" ref="J18:J24" si="3">I18</f>
        <v>0</v>
      </c>
      <c r="K18" s="3"/>
      <c r="L18" s="3"/>
      <c r="P18" s="10"/>
      <c r="Q18" s="10"/>
      <c r="R18" s="13"/>
      <c r="S18" s="10"/>
      <c r="V18" s="11" t="s">
        <v>32</v>
      </c>
      <c r="W18" s="11" t="s">
        <v>60</v>
      </c>
    </row>
    <row r="19" spans="1:23" ht="14.7" customHeight="1" x14ac:dyDescent="0.3">
      <c r="B19" s="24" t="s">
        <v>3</v>
      </c>
      <c r="C19" s="28">
        <v>0.12</v>
      </c>
      <c r="D19" s="28">
        <v>0.19</v>
      </c>
      <c r="E19" s="28">
        <v>0.17</v>
      </c>
      <c r="F19" s="28">
        <v>0.22</v>
      </c>
      <c r="G19" s="28">
        <v>0.2</v>
      </c>
      <c r="H19" s="28">
        <v>0.15</v>
      </c>
      <c r="I19" s="3">
        <f t="shared" si="2"/>
        <v>2.2565182563572872E-2</v>
      </c>
      <c r="J19" s="3">
        <f t="shared" si="3"/>
        <v>2.2565182563572872E-2</v>
      </c>
      <c r="K19" s="3"/>
      <c r="L19" s="3"/>
      <c r="P19" s="10"/>
      <c r="Q19" s="10"/>
      <c r="R19" s="10"/>
      <c r="S19" s="4" t="s">
        <v>1</v>
      </c>
      <c r="V19" s="11" t="s">
        <v>33</v>
      </c>
      <c r="W19" s="11" t="s">
        <v>61</v>
      </c>
    </row>
    <row r="20" spans="1:23" ht="14.7" customHeight="1" x14ac:dyDescent="0.3">
      <c r="B20" s="24" t="s">
        <v>10</v>
      </c>
      <c r="C20" s="28">
        <v>0.48</v>
      </c>
      <c r="D20" s="28">
        <v>0.46</v>
      </c>
      <c r="E20" s="28">
        <v>0.5</v>
      </c>
      <c r="F20" s="28">
        <v>0.47</v>
      </c>
      <c r="G20" s="28">
        <v>0.48</v>
      </c>
      <c r="H20" s="28">
        <v>0.47</v>
      </c>
      <c r="I20" s="3">
        <f t="shared" si="2"/>
        <v>-2.1031262440773801E-3</v>
      </c>
      <c r="J20" s="3">
        <f t="shared" si="3"/>
        <v>-2.1031262440773801E-3</v>
      </c>
      <c r="K20" s="3"/>
      <c r="L20" s="3"/>
      <c r="P20" s="10"/>
      <c r="Q20" s="10"/>
      <c r="R20" s="10"/>
      <c r="S20" s="13" t="s">
        <v>1</v>
      </c>
      <c r="V20" s="11" t="s">
        <v>34</v>
      </c>
      <c r="W20" s="11" t="s">
        <v>62</v>
      </c>
    </row>
    <row r="21" spans="1:23" ht="14.7" customHeight="1" x14ac:dyDescent="0.3">
      <c r="B21" s="24" t="s">
        <v>4</v>
      </c>
      <c r="C21" s="28">
        <v>0.79</v>
      </c>
      <c r="D21" s="28">
        <v>0.8</v>
      </c>
      <c r="E21" s="28">
        <v>0.82</v>
      </c>
      <c r="F21" s="28">
        <v>0.83</v>
      </c>
      <c r="G21" s="28">
        <v>0.82</v>
      </c>
      <c r="H21" s="28">
        <v>0.82</v>
      </c>
      <c r="I21" s="3">
        <f t="shared" si="2"/>
        <v>3.7340939014227637E-3</v>
      </c>
      <c r="J21" s="3">
        <f t="shared" si="3"/>
        <v>3.7340939014227637E-3</v>
      </c>
      <c r="K21" s="3"/>
      <c r="L21" s="3"/>
      <c r="P21" s="10"/>
      <c r="Q21" s="10"/>
      <c r="R21" s="4" t="s">
        <v>12</v>
      </c>
      <c r="S21" s="13"/>
      <c r="V21" s="11" t="s">
        <v>35</v>
      </c>
      <c r="W21" s="11" t="s">
        <v>63</v>
      </c>
    </row>
    <row r="22" spans="1:23" ht="14.7" customHeight="1" x14ac:dyDescent="0.3">
      <c r="B22" s="24" t="s">
        <v>11</v>
      </c>
      <c r="C22" s="28">
        <v>0.4</v>
      </c>
      <c r="D22" s="28">
        <v>0.46</v>
      </c>
      <c r="E22" s="28">
        <v>0.46</v>
      </c>
      <c r="F22" s="28">
        <v>0.48</v>
      </c>
      <c r="G22" s="28">
        <v>0.53</v>
      </c>
      <c r="H22" s="28">
        <v>0.53</v>
      </c>
      <c r="I22" s="3">
        <f t="shared" si="2"/>
        <v>2.8540951399434356E-2</v>
      </c>
      <c r="J22" s="3">
        <f t="shared" si="3"/>
        <v>2.8540951399434356E-2</v>
      </c>
      <c r="K22" s="3"/>
      <c r="L22" s="3"/>
      <c r="P22" s="10"/>
      <c r="Q22" s="10"/>
      <c r="R22" s="13"/>
      <c r="S22" s="10"/>
      <c r="V22" s="11" t="s">
        <v>36</v>
      </c>
      <c r="W22" s="11" t="s">
        <v>64</v>
      </c>
    </row>
    <row r="23" spans="1:23" ht="14.7" customHeight="1" x14ac:dyDescent="0.3">
      <c r="B23" s="24" t="s">
        <v>12</v>
      </c>
      <c r="C23" s="28">
        <v>0.57999999999999996</v>
      </c>
      <c r="D23" s="28">
        <v>0.61</v>
      </c>
      <c r="E23" s="28">
        <v>0.65</v>
      </c>
      <c r="F23" s="28">
        <v>0.7</v>
      </c>
      <c r="G23" s="28">
        <v>0.73</v>
      </c>
      <c r="H23" s="28">
        <v>0.72</v>
      </c>
      <c r="I23" s="3">
        <f t="shared" si="2"/>
        <v>2.1857766983182536E-2</v>
      </c>
      <c r="J23" s="3">
        <f t="shared" si="3"/>
        <v>2.1857766983182536E-2</v>
      </c>
      <c r="K23" s="3"/>
      <c r="L23" s="3"/>
      <c r="P23" s="10"/>
      <c r="Q23" s="10"/>
      <c r="R23" s="13"/>
      <c r="S23" s="10"/>
      <c r="V23" s="11" t="s">
        <v>37</v>
      </c>
      <c r="W23" s="11" t="s">
        <v>65</v>
      </c>
    </row>
    <row r="24" spans="1:23" ht="14.7" customHeight="1" x14ac:dyDescent="0.3">
      <c r="B24" s="24" t="s">
        <v>5</v>
      </c>
      <c r="C24" s="28">
        <v>0.35</v>
      </c>
      <c r="D24" s="28">
        <v>0.35</v>
      </c>
      <c r="E24" s="28">
        <v>0.41</v>
      </c>
      <c r="F24" s="28">
        <v>0.48</v>
      </c>
      <c r="G24" s="28">
        <v>0.53</v>
      </c>
      <c r="H24" s="28">
        <v>0.56999999999999995</v>
      </c>
      <c r="I24" s="3">
        <f t="shared" si="2"/>
        <v>4.9979164495061346E-2</v>
      </c>
      <c r="J24" s="3">
        <f t="shared" si="3"/>
        <v>4.9979164495061346E-2</v>
      </c>
      <c r="K24" s="3"/>
      <c r="L24" s="3"/>
      <c r="P24" s="10"/>
      <c r="Q24" s="10"/>
      <c r="R24" s="4" t="s">
        <v>11</v>
      </c>
      <c r="S24" s="10"/>
      <c r="V24" s="11" t="s">
        <v>38</v>
      </c>
      <c r="W24" s="11" t="s">
        <v>66</v>
      </c>
    </row>
    <row r="25" spans="1:23" ht="14.7" customHeight="1" x14ac:dyDescent="0.3">
      <c r="C25" s="5"/>
      <c r="D25" s="5"/>
      <c r="E25" s="5"/>
      <c r="F25" s="5"/>
      <c r="G25" s="5"/>
      <c r="H25" s="5"/>
      <c r="I25" s="14"/>
      <c r="P25" s="10"/>
      <c r="Q25" s="4"/>
      <c r="R25" s="13" t="s">
        <v>11</v>
      </c>
      <c r="S25" s="10"/>
      <c r="V25" s="11" t="s">
        <v>39</v>
      </c>
      <c r="W25" s="11" t="s">
        <v>67</v>
      </c>
    </row>
    <row r="26" spans="1:23" s="2" customFormat="1" ht="14.7" customHeight="1" x14ac:dyDescent="0.3">
      <c r="A26" s="6"/>
      <c r="B26" s="25"/>
      <c r="J26" s="4"/>
      <c r="K26" s="4"/>
      <c r="L26" s="4"/>
      <c r="P26" s="4"/>
      <c r="Q26" s="4"/>
      <c r="R26" s="13"/>
      <c r="S26" s="4"/>
      <c r="V26" s="11" t="s">
        <v>40</v>
      </c>
      <c r="W26" s="11" t="s">
        <v>68</v>
      </c>
    </row>
    <row r="27" spans="1:23" ht="14.7" customHeight="1" x14ac:dyDescent="0.3">
      <c r="B27" s="27" t="s">
        <v>13</v>
      </c>
      <c r="J27" s="21"/>
      <c r="K27" s="21"/>
      <c r="L27" s="21"/>
      <c r="V27" s="11" t="s">
        <v>41</v>
      </c>
      <c r="W27" s="11" t="s">
        <v>69</v>
      </c>
    </row>
    <row r="28" spans="1:23" ht="14.7" customHeight="1" x14ac:dyDescent="0.3">
      <c r="B28" s="18" t="s">
        <v>9</v>
      </c>
      <c r="C28" s="19" t="s">
        <v>15</v>
      </c>
      <c r="D28" s="19" t="s">
        <v>16</v>
      </c>
      <c r="E28" s="19" t="s">
        <v>14</v>
      </c>
      <c r="F28" s="15"/>
      <c r="G28" s="34" t="s">
        <v>74</v>
      </c>
      <c r="H28" s="15"/>
      <c r="I28" s="15"/>
      <c r="J28" s="21"/>
      <c r="K28" s="21"/>
      <c r="L28" s="21"/>
      <c r="M28" s="15"/>
      <c r="V28" s="11" t="s">
        <v>42</v>
      </c>
      <c r="W28" s="11" t="s">
        <v>70</v>
      </c>
    </row>
    <row r="29" spans="1:23" ht="14.7" customHeight="1" x14ac:dyDescent="0.3">
      <c r="B29" s="24" t="s">
        <v>1</v>
      </c>
      <c r="C29" s="16">
        <v>0.04</v>
      </c>
      <c r="D29" s="16">
        <v>0.49</v>
      </c>
      <c r="E29" s="16">
        <f t="shared" ref="E29:E36" si="4">1-(C29+D29)</f>
        <v>0.47</v>
      </c>
      <c r="F29" s="15"/>
      <c r="G29" s="15"/>
      <c r="H29" s="15"/>
      <c r="I29" s="15"/>
      <c r="J29" s="21"/>
      <c r="K29" s="21"/>
      <c r="L29" s="21"/>
      <c r="M29" s="15"/>
      <c r="V29" s="11" t="s">
        <v>43</v>
      </c>
      <c r="W29" s="11" t="s">
        <v>71</v>
      </c>
    </row>
    <row r="30" spans="1:23" ht="14.7" customHeight="1" x14ac:dyDescent="0.3">
      <c r="B30" s="24" t="s">
        <v>2</v>
      </c>
      <c r="C30" s="16">
        <v>0.04</v>
      </c>
      <c r="D30" s="16">
        <v>0.59</v>
      </c>
      <c r="E30" s="16">
        <f t="shared" si="4"/>
        <v>0.37</v>
      </c>
      <c r="F30" s="15"/>
      <c r="G30" s="15"/>
      <c r="H30" s="15"/>
      <c r="I30" s="15"/>
      <c r="J30" s="37">
        <v>0</v>
      </c>
      <c r="K30" s="21"/>
      <c r="L30" s="21"/>
      <c r="M30" s="15"/>
      <c r="V30" s="11" t="s">
        <v>44</v>
      </c>
      <c r="W30" s="11" t="s">
        <v>72</v>
      </c>
    </row>
    <row r="31" spans="1:23" ht="14.7" customHeight="1" x14ac:dyDescent="0.3">
      <c r="B31" s="24" t="s">
        <v>3</v>
      </c>
      <c r="C31" s="16">
        <v>0.04</v>
      </c>
      <c r="D31" s="16">
        <v>0.11</v>
      </c>
      <c r="E31" s="16">
        <f t="shared" si="4"/>
        <v>0.85</v>
      </c>
      <c r="F31" s="15"/>
      <c r="G31" s="15"/>
      <c r="H31" s="15"/>
      <c r="I31" s="15"/>
      <c r="J31" s="21"/>
      <c r="K31" s="21"/>
      <c r="L31" s="21"/>
      <c r="M31" s="15"/>
    </row>
    <row r="32" spans="1:23" ht="14.7" customHeight="1" x14ac:dyDescent="0.3">
      <c r="B32" s="24" t="s">
        <v>10</v>
      </c>
      <c r="C32" s="16">
        <v>0.03</v>
      </c>
      <c r="D32" s="16">
        <v>0.44</v>
      </c>
      <c r="E32" s="16">
        <f t="shared" si="4"/>
        <v>0.53</v>
      </c>
      <c r="F32" s="15"/>
      <c r="G32" s="15"/>
      <c r="H32" s="15"/>
      <c r="I32" s="15"/>
      <c r="J32" s="21"/>
      <c r="K32" s="21"/>
      <c r="L32" s="21"/>
      <c r="M32" s="15"/>
    </row>
    <row r="33" spans="2:13" ht="14.7" customHeight="1" x14ac:dyDescent="0.3">
      <c r="B33" s="24" t="s">
        <v>4</v>
      </c>
      <c r="C33" s="16">
        <v>0.04</v>
      </c>
      <c r="D33" s="16">
        <v>0.78</v>
      </c>
      <c r="E33" s="16">
        <f t="shared" si="4"/>
        <v>0.17999999999999994</v>
      </c>
      <c r="F33" s="15"/>
      <c r="G33" s="15"/>
      <c r="H33" s="15"/>
      <c r="I33" s="15"/>
      <c r="M33" s="15"/>
    </row>
    <row r="34" spans="2:13" ht="14.7" customHeight="1" x14ac:dyDescent="0.3">
      <c r="B34" s="24" t="s">
        <v>11</v>
      </c>
      <c r="C34" s="16">
        <v>0.04</v>
      </c>
      <c r="D34" s="16">
        <v>0.49</v>
      </c>
      <c r="E34" s="16">
        <f t="shared" si="4"/>
        <v>0.47</v>
      </c>
    </row>
    <row r="35" spans="2:13" ht="14.7" customHeight="1" x14ac:dyDescent="0.3">
      <c r="B35" s="24" t="s">
        <v>12</v>
      </c>
      <c r="C35" s="16">
        <v>0.04</v>
      </c>
      <c r="D35" s="16">
        <v>0.68</v>
      </c>
      <c r="E35" s="16">
        <f t="shared" si="4"/>
        <v>0.27999999999999992</v>
      </c>
    </row>
    <row r="36" spans="2:13" ht="14.7" customHeight="1" x14ac:dyDescent="0.3">
      <c r="B36" s="24" t="s">
        <v>5</v>
      </c>
      <c r="C36" s="16">
        <v>0.04</v>
      </c>
      <c r="D36" s="16">
        <v>0.53</v>
      </c>
      <c r="E36" s="16">
        <f t="shared" si="4"/>
        <v>0.42999999999999994</v>
      </c>
    </row>
    <row r="37" spans="2:13" ht="14.7" customHeight="1" x14ac:dyDescent="0.3">
      <c r="C37" s="17"/>
      <c r="D37" s="17"/>
      <c r="E37" s="17"/>
    </row>
    <row r="38" spans="2:13" ht="14.7" customHeight="1" x14ac:dyDescent="0.3">
      <c r="C38" s="17"/>
      <c r="D38" s="17"/>
      <c r="E38" s="17"/>
    </row>
    <row r="39" spans="2:13" ht="14.7" customHeight="1" x14ac:dyDescent="0.3">
      <c r="B39" s="25"/>
    </row>
    <row r="42" spans="2:13" ht="14.7" customHeight="1" x14ac:dyDescent="0.3">
      <c r="B42" s="25"/>
      <c r="J42" s="12"/>
      <c r="K42" s="12"/>
      <c r="L42" s="12"/>
    </row>
    <row r="43" spans="2:13" ht="14.7" customHeight="1" x14ac:dyDescent="0.3">
      <c r="B43" s="25"/>
      <c r="F43" s="12"/>
      <c r="G43" s="12"/>
      <c r="H43" s="12"/>
      <c r="I43" s="12"/>
      <c r="M43" s="12"/>
    </row>
    <row r="44" spans="2:13" ht="14.7" customHeight="1" x14ac:dyDescent="0.3">
      <c r="B44" s="25"/>
    </row>
    <row r="45" spans="2:13" ht="14.7" customHeight="1" x14ac:dyDescent="0.3">
      <c r="B45" s="25"/>
    </row>
    <row r="46" spans="2:13" ht="14.7" customHeight="1" x14ac:dyDescent="0.3">
      <c r="B46" s="25"/>
    </row>
    <row r="47" spans="2:13" ht="14.7" customHeight="1" x14ac:dyDescent="0.3">
      <c r="B47" s="25"/>
    </row>
    <row r="49" spans="2:5" ht="14.7" customHeight="1" x14ac:dyDescent="0.3">
      <c r="B49" s="25"/>
    </row>
    <row r="50" spans="2:5" ht="14.7" customHeight="1" x14ac:dyDescent="0.3">
      <c r="B50" s="25"/>
    </row>
    <row r="51" spans="2:5" ht="14.7" customHeight="1" x14ac:dyDescent="0.3">
      <c r="B51" s="25"/>
    </row>
    <row r="52" spans="2:5" ht="14.7" customHeight="1" x14ac:dyDescent="0.3">
      <c r="C52" s="17"/>
      <c r="D52" s="17"/>
      <c r="E52" s="17"/>
    </row>
    <row r="63" spans="2:5" ht="14.7" customHeight="1" x14ac:dyDescent="0.3">
      <c r="B63" s="26" t="s">
        <v>6</v>
      </c>
    </row>
  </sheetData>
  <phoneticPr fontId="23" type="noConversion"/>
  <conditionalFormatting sqref="E29:E3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:H24">
    <cfRule type="dataBar" priority="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{053AB230-F752-4D92-A833-24796F20B177}</x14:id>
        </ext>
      </extLst>
    </cfRule>
  </conditionalFormatting>
  <conditionalFormatting sqref="D29:D36">
    <cfRule type="cellIs" dxfId="11" priority="12" operator="lessThan">
      <formula>0.48</formula>
    </cfRule>
  </conditionalFormatting>
  <conditionalFormatting sqref="Q11">
    <cfRule type="expression" dxfId="10" priority="11">
      <formula>Q10=$M$1</formula>
    </cfRule>
  </conditionalFormatting>
  <conditionalFormatting sqref="R11">
    <cfRule type="expression" dxfId="9" priority="10">
      <formula>R10=$M$1</formula>
    </cfRule>
  </conditionalFormatting>
  <conditionalFormatting sqref="P14:P15">
    <cfRule type="expression" dxfId="8" priority="9">
      <formula>P13=$M$1</formula>
    </cfRule>
  </conditionalFormatting>
  <conditionalFormatting sqref="Q16:Q17">
    <cfRule type="expression" dxfId="7" priority="8">
      <formula>Q15=$M$1</formula>
    </cfRule>
  </conditionalFormatting>
  <conditionalFormatting sqref="R18">
    <cfRule type="expression" dxfId="6" priority="7">
      <formula>R17=$M$1</formula>
    </cfRule>
  </conditionalFormatting>
  <conditionalFormatting sqref="S20:S21">
    <cfRule type="expression" dxfId="5" priority="6">
      <formula>S19=$M$1</formula>
    </cfRule>
  </conditionalFormatting>
  <conditionalFormatting sqref="R22">
    <cfRule type="expression" dxfId="4" priority="5">
      <formula>R21=$M$1</formula>
    </cfRule>
  </conditionalFormatting>
  <conditionalFormatting sqref="R25:R26">
    <cfRule type="expression" dxfId="3" priority="4">
      <formula>R24=$M$1</formula>
    </cfRule>
  </conditionalFormatting>
  <conditionalFormatting sqref="B5:I12">
    <cfRule type="expression" dxfId="2" priority="18">
      <formula>$B5=$M$1</formula>
    </cfRule>
  </conditionalFormatting>
  <conditionalFormatting sqref="C5:H12">
    <cfRule type="top10" dxfId="1" priority="13" bottom="1" rank="5"/>
  </conditionalFormatting>
  <conditionalFormatting sqref="J5:L12">
    <cfRule type="expression" dxfId="0" priority="1">
      <formula>IF($I5 &gt; 0, TRUE, FALSE)</formula>
    </cfRule>
  </conditionalFormatting>
  <dataValidations count="1">
    <dataValidation type="list" allowBlank="1" showInputMessage="1" showErrorMessage="1" sqref="M1" xr:uid="{6E5B7FFA-CFBA-4CCC-A4D6-3B37F0615B54}">
      <formula1>State_Territory</formula1>
    </dataValidation>
  </dataValidations>
  <hyperlinks>
    <hyperlink ref="B63" r:id="rId1" xr:uid="{8D0F9B2E-C89B-428F-B3A3-5AFE7B1F6D4F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3AB230-F752-4D92-A833-24796F20B1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C17:H24</xm:sqref>
        </x14:conditionalFormatting>
        <x14:conditionalFormatting xmlns:xm="http://schemas.microsoft.com/office/excel/2006/main">
          <x14:cfRule type="iconSet" priority="14" id="{954DC82B-1419-4740-A4D7-ABA037CE961F}">
            <x14:iconSet iconSet="3Triangles" showValue="0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J17:L24</xm:sqref>
        </x14:conditionalFormatting>
      </x14:conditionalFormattings>
    </ext>
    <ext xmlns:x14="http://schemas.microsoft.com/office/spreadsheetml/2009/9/main" uri="{05C60535-1F16-4fd2-B633-F4F36F0B64E0}">
      <x14:sparklineGroups xmlns:xm="http://schemas.microsoft.com/office/excel/2006/main">
        <x14:sparklineGroup displayEmptyCellsAs="gap" high="1" xr2:uid="{1160EAB6-2037-4F99-B546-02361F8ECEEA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FFFF00"/>
          <x14:colorLow rgb="FFFF0000"/>
          <x14:sparklines>
            <x14:sparkline>
              <xm:f>'State Waste Management'!C17:H17</xm:f>
              <xm:sqref>M17</xm:sqref>
            </x14:sparkline>
            <x14:sparkline>
              <xm:f>'State Waste Management'!C18:H18</xm:f>
              <xm:sqref>M18</xm:sqref>
            </x14:sparkline>
            <x14:sparkline>
              <xm:f>'State Waste Management'!C19:H19</xm:f>
              <xm:sqref>M19</xm:sqref>
            </x14:sparkline>
            <x14:sparkline>
              <xm:f>'State Waste Management'!C20:H20</xm:f>
              <xm:sqref>M20</xm:sqref>
            </x14:sparkline>
            <x14:sparkline>
              <xm:f>'State Waste Management'!C21:H21</xm:f>
              <xm:sqref>M21</xm:sqref>
            </x14:sparkline>
            <x14:sparkline>
              <xm:f>'State Waste Management'!C22:H22</xm:f>
              <xm:sqref>M22</xm:sqref>
            </x14:sparkline>
            <x14:sparkline>
              <xm:f>'State Waste Management'!C23:H23</xm:f>
              <xm:sqref>M23</xm:sqref>
            </x14:sparkline>
            <x14:sparkline>
              <xm:f>'State Waste Management'!C24:H24</xm:f>
              <xm:sqref>M24</xm:sqref>
            </x14:sparkline>
          </x14:sparklines>
        </x14:sparklineGroup>
        <x14:sparklineGroup type="column" displayEmptyCellsAs="gap" high="1" xr2:uid="{1818FB75-F67B-45A6-820A-A03647A4D9AF}">
          <x14:colorSeries theme="5"/>
          <x14:colorNegative theme="6"/>
          <x14:colorAxis rgb="FF000000"/>
          <x14:colorMarkers theme="5" tint="-0.249977111117893"/>
          <x14:colorFirst theme="5" tint="-0.249977111117893"/>
          <x14:colorLast theme="5" tint="-0.249977111117893"/>
          <x14:colorHigh rgb="FFC00000"/>
          <x14:colorLow theme="5" tint="-0.249977111117893"/>
          <x14:sparklines>
            <x14:sparkline>
              <xm:f>'State Waste Management'!C5:H5</xm:f>
              <xm:sqref>M5</xm:sqref>
            </x14:sparkline>
            <x14:sparkline>
              <xm:f>'State Waste Management'!C6:H6</xm:f>
              <xm:sqref>M6</xm:sqref>
            </x14:sparkline>
            <x14:sparkline>
              <xm:f>'State Waste Management'!C7:H7</xm:f>
              <xm:sqref>M7</xm:sqref>
            </x14:sparkline>
            <x14:sparkline>
              <xm:f>'State Waste Management'!C8:H8</xm:f>
              <xm:sqref>M8</xm:sqref>
            </x14:sparkline>
            <x14:sparkline>
              <xm:f>'State Waste Management'!C9:H9</xm:f>
              <xm:sqref>M9</xm:sqref>
            </x14:sparkline>
            <x14:sparkline>
              <xm:f>'State Waste Management'!C10:H10</xm:f>
              <xm:sqref>M10</xm:sqref>
            </x14:sparkline>
            <x14:sparkline>
              <xm:f>'State Waste Management'!C11:H11</xm:f>
              <xm:sqref>M11</xm:sqref>
            </x14:sparkline>
            <x14:sparkline>
              <xm:f>'State Waste Management'!C12:H12</xm:f>
              <xm:sqref>M12</xm:sqref>
            </x14:sparkline>
          </x14:sparklines>
        </x14:sparklineGroup>
        <x14:sparklineGroup type="column" displayEmptyCellsAs="gap" xr2:uid="{C553FA38-4CF8-4D98-BBF4-23765F117F3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'State Waste Management'!C13:H13</xm:f>
              <xm:sqref>M13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4B54E-587C-4DA9-9216-DDD05F3856FB}">
  <dimension ref="A1"/>
  <sheetViews>
    <sheetView workbookViewId="0">
      <selection activeCell="K6" sqref="K6"/>
    </sheetView>
  </sheetViews>
  <sheetFormatPr defaultRowHeight="14.4" x14ac:dyDescent="0.3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4C35128-1A06-4965-AA7F-ABDFDDB202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State Waste Management</vt:lpstr>
      <vt:lpstr>Sheet1</vt:lpstr>
      <vt:lpstr>State_Territory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Nicole Bull</dc:creator>
  <cp:lastModifiedBy>Anoban</cp:lastModifiedBy>
  <dcterms:created xsi:type="dcterms:W3CDTF">2020-03-03T02:51:49Z</dcterms:created>
  <dcterms:modified xsi:type="dcterms:W3CDTF">2022-11-13T03:16:11Z</dcterms:modified>
</cp:coreProperties>
</file>